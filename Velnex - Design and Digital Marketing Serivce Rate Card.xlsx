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kannan\Velhari Sankaran\3.2 VELNEX\01.1 - DOCUMENTS\Graphic Design and Digital Marketing Service Portfolio\"/>
    </mc:Choice>
  </mc:AlternateContent>
  <xr:revisionPtr revIDLastSave="0" documentId="13_ncr:1_{B3E585DF-D0CF-485F-9154-086615B764F1}" xr6:coauthVersionLast="47" xr6:coauthVersionMax="47" xr10:uidLastSave="{00000000-0000-0000-0000-000000000000}"/>
  <bookViews>
    <workbookView xWindow="-108" yWindow="-108" windowWidth="23256" windowHeight="12456" tabRatio="803" activeTab="1" xr2:uid="{00000000-000D-0000-FFFF-FFFF00000000}"/>
  </bookViews>
  <sheets>
    <sheet name="01. Branding_ReBranding" sheetId="4" r:id="rId1"/>
    <sheet name="02. Marketing_Materials" sheetId="5" r:id="rId2"/>
    <sheet name="Add_Ons" sheetId="6" r:id="rId3"/>
    <sheet name="Sheet1" sheetId="1" r:id="rId4"/>
    <sheet name="Invoice_Quotation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4" l="1"/>
  <c r="E6" i="4"/>
  <c r="E7" i="4"/>
  <c r="E8" i="4"/>
  <c r="E9" i="4"/>
  <c r="E10" i="4"/>
  <c r="J24" i="1"/>
  <c r="I24" i="1"/>
  <c r="H24" i="1"/>
  <c r="G24" i="1"/>
  <c r="F24" i="1"/>
  <c r="E24" i="1"/>
  <c r="J23" i="1"/>
  <c r="I23" i="1"/>
  <c r="H23" i="1"/>
  <c r="G23" i="1"/>
  <c r="F23" i="1"/>
  <c r="E23" i="1"/>
  <c r="J22" i="1"/>
  <c r="I22" i="1"/>
  <c r="H22" i="1"/>
  <c r="G22" i="1"/>
  <c r="F22" i="1"/>
  <c r="E22" i="1"/>
  <c r="J21" i="1"/>
  <c r="I21" i="1"/>
  <c r="H21" i="1"/>
  <c r="G21" i="1"/>
  <c r="F21" i="1"/>
  <c r="E21" i="1"/>
  <c r="J20" i="1"/>
  <c r="I20" i="1"/>
  <c r="H20" i="1"/>
  <c r="G20" i="1"/>
  <c r="F20" i="1"/>
  <c r="E20" i="1"/>
  <c r="J19" i="1"/>
  <c r="I19" i="1"/>
  <c r="H19" i="1"/>
  <c r="G19" i="1"/>
  <c r="F19" i="1"/>
  <c r="E19" i="1"/>
  <c r="G11" i="1"/>
  <c r="I10" i="1"/>
  <c r="G10" i="1"/>
  <c r="C26" i="2"/>
  <c r="C25" i="2"/>
  <c r="C24" i="2"/>
  <c r="C23" i="2"/>
  <c r="C22" i="2"/>
  <c r="C21" i="2"/>
  <c r="C20" i="2"/>
  <c r="C19" i="2"/>
  <c r="C18" i="2"/>
  <c r="C17" i="2"/>
  <c r="F17" i="2"/>
  <c r="G17" i="2" s="1"/>
  <c r="F18" i="2"/>
  <c r="G18" i="2" s="1"/>
  <c r="G28" i="2" s="1"/>
  <c r="G30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25" i="2"/>
  <c r="G25" i="2" s="1"/>
  <c r="F26" i="2"/>
  <c r="G26" i="2" s="1"/>
  <c r="F6" i="2"/>
  <c r="F7" i="2" s="1"/>
  <c r="E13" i="1"/>
  <c r="E12" i="1"/>
  <c r="H12" i="1" s="1"/>
  <c r="E11" i="1"/>
  <c r="F11" i="1" s="1"/>
  <c r="E10" i="1"/>
  <c r="E9" i="1"/>
  <c r="E8" i="1"/>
  <c r="H8" i="1" s="1"/>
  <c r="I8" i="1" l="1"/>
  <c r="I12" i="1"/>
  <c r="J8" i="1"/>
  <c r="J12" i="1"/>
  <c r="G9" i="1"/>
  <c r="G13" i="1"/>
  <c r="I13" i="1" s="1"/>
  <c r="H9" i="1"/>
  <c r="J9" i="1" s="1"/>
  <c r="H13" i="1"/>
  <c r="J13" i="1" s="1"/>
  <c r="I9" i="1"/>
  <c r="F8" i="1"/>
  <c r="H10" i="1"/>
  <c r="J10" i="1" s="1"/>
  <c r="H11" i="1"/>
  <c r="J11" i="1" s="1"/>
  <c r="I11" i="1"/>
  <c r="G8" i="1"/>
  <c r="G12" i="1"/>
  <c r="G32" i="2"/>
  <c r="G33" i="2" s="1"/>
  <c r="G35" i="2" s="1"/>
  <c r="F13" i="1"/>
  <c r="F12" i="1"/>
  <c r="F10" i="1"/>
  <c r="F9" i="1"/>
</calcChain>
</file>

<file path=xl/sharedStrings.xml><?xml version="1.0" encoding="utf-8"?>
<sst xmlns="http://schemas.openxmlformats.org/spreadsheetml/2006/main" count="458" uniqueCount="215">
  <si>
    <t>Designer Rate</t>
  </si>
  <si>
    <t>Client Rate</t>
  </si>
  <si>
    <t>Service Category</t>
  </si>
  <si>
    <t>Sub-Service</t>
  </si>
  <si>
    <t>Velnex Margin 30%</t>
  </si>
  <si>
    <t>Sales Commission 40% of Velnex Margin</t>
  </si>
  <si>
    <t>Sales Commission 60% of Velnex Margin</t>
  </si>
  <si>
    <t>Velnex Retained After 40% Commission</t>
  </si>
  <si>
    <t>Velnex Retained After 60% Commission</t>
  </si>
  <si>
    <t>Logo — Basic</t>
  </si>
  <si>
    <t>Logo — Professional</t>
  </si>
  <si>
    <t>Brand Identity — Basic</t>
  </si>
  <si>
    <t>Brand Identity — Professional</t>
  </si>
  <si>
    <t>Rebranding Identity — Basic</t>
  </si>
  <si>
    <t>Rebranding Identity — Professional</t>
  </si>
  <si>
    <t>Branding &amp; Rebranding Rate Card</t>
  </si>
  <si>
    <t>Assumptions</t>
  </si>
  <si>
    <t>Margin %</t>
  </si>
  <si>
    <t>VELNEX - QUOTATION / INVOICE</t>
  </si>
  <si>
    <t>From</t>
  </si>
  <si>
    <t>Velnex</t>
  </si>
  <si>
    <t>Address</t>
  </si>
  <si>
    <t>Email / Phone</t>
  </si>
  <si>
    <t>GSTIN</t>
  </si>
  <si>
    <t>Prepared By</t>
  </si>
  <si>
    <t>Document Type</t>
  </si>
  <si>
    <t>Quotation</t>
  </si>
  <si>
    <t>Document No.</t>
  </si>
  <si>
    <t>Date</t>
  </si>
  <si>
    <t>Valid Until</t>
  </si>
  <si>
    <t>Payment Terms</t>
  </si>
  <si>
    <t>50% Advance / Balance on Delivery</t>
  </si>
  <si>
    <t>Currency</t>
  </si>
  <si>
    <t>INR</t>
  </si>
  <si>
    <t>Bill To</t>
  </si>
  <si>
    <t>Client Name</t>
  </si>
  <si>
    <t>Company</t>
  </si>
  <si>
    <t>Project / Brand</t>
  </si>
  <si>
    <t>#</t>
  </si>
  <si>
    <t>Qty</t>
  </si>
  <si>
    <t>Unit Rate</t>
  </si>
  <si>
    <t>Amount</t>
  </si>
  <si>
    <t>Subtotal</t>
  </si>
  <si>
    <t>Discount %</t>
  </si>
  <si>
    <t>Discount Amount</t>
  </si>
  <si>
    <t>GST %</t>
  </si>
  <si>
    <t>GST Amount</t>
  </si>
  <si>
    <t>Grand Total</t>
  </si>
  <si>
    <t>Amount Received</t>
  </si>
  <si>
    <t>Balance Due</t>
  </si>
  <si>
    <t>Notes</t>
  </si>
  <si>
    <t>1. Unit rates auto-fill from the Rate Card when Sub-Service is entered.</t>
  </si>
  <si>
    <t>2. Final scope, timelines, and deliverables should be confirmed before kickoff.</t>
  </si>
  <si>
    <t>3. Taxes and discounts can be edited in the summary section.</t>
  </si>
  <si>
    <t>Terms &amp; Conditions</t>
  </si>
  <si>
    <t>• Quotation validity follows the Valid Until date above.</t>
  </si>
  <si>
    <t>• Work begins after advance payment and confirmation of scope.</t>
  </si>
  <si>
    <t>• Additional revisions or scope changes may be billed separately.</t>
  </si>
  <si>
    <t>• Final files are released after full payment clearance.</t>
  </si>
  <si>
    <t>Thank you for your business!</t>
  </si>
  <si>
    <t>operations@velnex.in /
 +971 555936942</t>
  </si>
  <si>
    <t>Email / 
Phone</t>
  </si>
  <si>
    <t>Color Legend</t>
  </si>
  <si>
    <t>Logo Services</t>
  </si>
  <si>
    <t>Rows 8–9</t>
  </si>
  <si>
    <t>Brand Identity</t>
  </si>
  <si>
    <t>Rows 10–11</t>
  </si>
  <si>
    <t>Rebranding</t>
  </si>
  <si>
    <t>Rows 12–13</t>
  </si>
  <si>
    <t>Editable Inputs</t>
  </si>
  <si>
    <t>Rates / % cells</t>
  </si>
  <si>
    <t>Calculated Outputs</t>
  </si>
  <si>
    <t>Formulas</t>
  </si>
  <si>
    <t>Marketing Materials - Digital &amp; Print Rate Card</t>
  </si>
  <si>
    <t>Digital</t>
  </si>
  <si>
    <t>Social Media Post Design</t>
  </si>
  <si>
    <t>Digital Ad Creative</t>
  </si>
  <si>
    <t>Emailer / Newsletter Design</t>
  </si>
  <si>
    <t>Print</t>
  </si>
  <si>
    <t>Flyer / Poster Design</t>
  </si>
  <si>
    <t>Brochure Design</t>
  </si>
  <si>
    <t>Business Card / Stationery Design</t>
  </si>
  <si>
    <t>Digital Marketing</t>
  </si>
  <si>
    <t>Rows 19–21</t>
  </si>
  <si>
    <t>Print Marketing</t>
  </si>
  <si>
    <t>Rows 22–24</t>
  </si>
  <si>
    <t>Scope / Deliverables</t>
  </si>
  <si>
    <t>Basic logo concept, clean vector-ready design, standard file handoff</t>
  </si>
  <si>
    <t>Professional logo concepts, refinements, brand-ready file package</t>
  </si>
  <si>
    <t>Basic visual identity system with logo usage, colors, and typography guidance</t>
  </si>
  <si>
    <t>Professional brand identity system with expanded visual guidelines and assets</t>
  </si>
  <si>
    <t>Basic rebranding identity refresh with updated visual direction and core assets</t>
  </si>
  <si>
    <t>Professional rebranding package with full identity refresh and brand guidelines</t>
  </si>
  <si>
    <t>Branding &amp; Re-Branding</t>
  </si>
  <si>
    <t>Marketing Materials - Digital &amp; Print</t>
  </si>
  <si>
    <t>Marketing Materials</t>
  </si>
  <si>
    <t>Single Social Media Poster</t>
  </si>
  <si>
    <t>Premium Ad Poster</t>
  </si>
  <si>
    <t>Product / Service Sheet</t>
  </si>
  <si>
    <t>Extra Brochure Page</t>
  </si>
  <si>
    <t>Simple Menu Card</t>
  </si>
  <si>
    <t>Premium Restaurant Menu</t>
  </si>
  <si>
    <t>Extra Menu Page</t>
  </si>
  <si>
    <t>Add-on</t>
  </si>
  <si>
    <t>Additional Size Adaptation</t>
  </si>
  <si>
    <t>Same design resized for another platform/format</t>
  </si>
  <si>
    <t>Extra Minor Revision</t>
  </si>
  <si>
    <t>Small text/colour/alignment correction after included revision</t>
  </si>
  <si>
    <t>Additional Language Version</t>
  </si>
  <si>
    <t>Same design adapted to another language</t>
  </si>
  <si>
    <t>Urgent Delivery</t>
  </si>
  <si>
    <t>Priority delivery depending on scope</t>
  </si>
  <si>
    <t>Editable Source File Handover</t>
  </si>
  <si>
    <t>Source file handover, if agreed</t>
  </si>
  <si>
    <t>Custom</t>
  </si>
  <si>
    <t>Branding &amp; Re-Branding — Designer Rates</t>
  </si>
  <si>
    <t>Marketing Materials — Designer Rates</t>
  </si>
  <si>
    <t>Menu Card Design</t>
  </si>
  <si>
    <t>Add-ons — Designer Rates</t>
  </si>
  <si>
    <t>Main Category</t>
  </si>
  <si>
    <t>Digital / Print</t>
  </si>
  <si>
    <t>Sub-Sub Service</t>
  </si>
  <si>
    <t>Time Period</t>
  </si>
  <si>
    <t>Social Media Design</t>
  </si>
  <si>
    <t>₹400 – ₹800</t>
  </si>
  <si>
    <t>1 working day</t>
  </si>
  <si>
    <t>Premium Social Media Poster</t>
  </si>
  <si>
    <t>₹1,000 – ₹2,500</t>
  </si>
  <si>
    <t>1 – 2 working days</t>
  </si>
  <si>
    <t>Festival / Greeting Poster</t>
  </si>
  <si>
    <t>Offer / Sale Poster</t>
  </si>
  <si>
    <t>Product / Service Poster</t>
  </si>
  <si>
    <t>Carousel Post — 3 Slides</t>
  </si>
  <si>
    <t>₹1,500 – ₹2,500</t>
  </si>
  <si>
    <t>2 working days</t>
  </si>
  <si>
    <t>Carousel Post — 5 Slides</t>
  </si>
  <si>
    <t>₹2,500 – ₹4,000</t>
  </si>
  <si>
    <t>2 – 3 working days</t>
  </si>
  <si>
    <t>Instagram / Facebook Story Creative</t>
  </si>
  <si>
    <t>₹300 – ₹700</t>
  </si>
  <si>
    <t>WhatsApp Status Creative</t>
  </si>
  <si>
    <t>Video Support Design</t>
  </si>
  <si>
    <t>Reel Thumbnail</t>
  </si>
  <si>
    <t>YouTube Thumbnail</t>
  </si>
  <si>
    <t>₹500 – ₹1,000</t>
  </si>
  <si>
    <t>Video Cover / Title Card</t>
  </si>
  <si>
    <t>Ad Creative Design</t>
  </si>
  <si>
    <t>Basic Ad Poster</t>
  </si>
  <si>
    <t>₹800 – ₹1,500</t>
  </si>
  <si>
    <t>Lead Generation Creative</t>
  </si>
  <si>
    <t>Product Launch Creative</t>
  </si>
  <si>
    <t>₹1,500 – ₹3,000</t>
  </si>
  <si>
    <t>Digital Campaign Pack</t>
  </si>
  <si>
    <t>5 Basic Posters</t>
  </si>
  <si>
    <t>₹2,000 – ₹4,000</t>
  </si>
  <si>
    <t>3 – 5 working days</t>
  </si>
  <si>
    <t>10 Basic Posters</t>
  </si>
  <si>
    <t>₹4,000 – ₹8,000</t>
  </si>
  <si>
    <t>5 – 7 working days</t>
  </si>
  <si>
    <t>5 Premium Posters</t>
  </si>
  <si>
    <t>₹5,000 – ₹10,000</t>
  </si>
  <si>
    <t>5 Posters + 5 Story Creatives</t>
  </si>
  <si>
    <t>₹6,000 – ₹12,000</t>
  </si>
  <si>
    <t>Flyer / Leaflet Design</t>
  </si>
  <si>
    <t>Single-Side Flyer</t>
  </si>
  <si>
    <t>₹1,000 – ₹2,000</t>
  </si>
  <si>
    <t>Double-Side Flyer</t>
  </si>
  <si>
    <t>Promotional Leaflet</t>
  </si>
  <si>
    <t>Bi-Fold Brochure</t>
  </si>
  <si>
    <t>₹2,000 – ₹5,000</t>
  </si>
  <si>
    <t>2 – 4 working days</t>
  </si>
  <si>
    <t>Tri-Fold Brochure</t>
  </si>
  <si>
    <t>₹3,000 – ₹7,000</t>
  </si>
  <si>
    <t>Multi-Page Brochure — Basic</t>
  </si>
  <si>
    <t>₹6,000+</t>
  </si>
  <si>
    <t>Multi-Page Brochure — 8 Pages</t>
  </si>
  <si>
    <t>₹8,000 – ₹12,000</t>
  </si>
  <si>
    <t>7 – 10 working days</t>
  </si>
  <si>
    <t>Multi-Page Brochure — 12 Pages</t>
  </si>
  <si>
    <t>₹12,000 – ₹18,000</t>
  </si>
  <si>
    <t>10 – 14 working days</t>
  </si>
  <si>
    <t>₹800 – ₹1,500 / page</t>
  </si>
  <si>
    <t>As per page count</t>
  </si>
  <si>
    <t>Catalogue Design</t>
  </si>
  <si>
    <t>Product Catalogue — Basic</t>
  </si>
  <si>
    <t>₹6,000 – ₹10,000</t>
  </si>
  <si>
    <t>Product Catalogue — Standard</t>
  </si>
  <si>
    <t>₹10,000 – ₹20,000</t>
  </si>
  <si>
    <t>7 – 14 working days</t>
  </si>
  <si>
    <t>Extra Catalogue Page</t>
  </si>
  <si>
    <t>₹800 – ₹2,000</t>
  </si>
  <si>
    <t>₹3,000+</t>
  </si>
  <si>
    <t>Multi-Page Menu</t>
  </si>
  <si>
    <t>₹4,000 – ₹10,000</t>
  </si>
  <si>
    <t>4 – 7 working days</t>
  </si>
  <si>
    <t>₹700 – ₹1,500 / page</t>
  </si>
  <si>
    <t>Event / Display Design</t>
  </si>
  <si>
    <t>Standee Design</t>
  </si>
  <si>
    <t>Banner Design</t>
  </si>
  <si>
    <t>Backdrop Design</t>
  </si>
  <si>
    <t>Poster for Print</t>
  </si>
  <si>
    <t>Promotional Document Design</t>
  </si>
  <si>
    <t>Offer Sheet</t>
  </si>
  <si>
    <t>Rate Card Design</t>
  </si>
  <si>
    <t>₹1,500 – ₹3,500</t>
  </si>
  <si>
    <t>Service List Design</t>
  </si>
  <si>
    <t>Add-On</t>
  </si>
  <si>
    <t>₹300 – ₹500 / size</t>
  </si>
  <si>
    <t>Same day – 1 working day</t>
  </si>
  <si>
    <t>₹300 – ₹500</t>
  </si>
  <si>
    <t>₹500 – ₹2,000 extra</t>
  </si>
  <si>
    <t>Based on scope</t>
  </si>
  <si>
    <t>Premium Stock Image / Paid Asset Use</t>
  </si>
  <si>
    <t>At actual cost + handling</t>
  </si>
  <si>
    <t>Based on 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</si>
</sst>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INR]\ * #,##0.00_);_([$INR]\ * \(#,##0.00\);_([$INR]\ * &quot;-&quot;??_);_(@_)"/>
    <numFmt numFmtId="165" formatCode="\₹\ #,##0"/>
    <numFmt numFmtId="166" formatCode="0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scheme val="minor"/>
    </font>
    <font>
      <b/>
      <sz val="16"/>
      <color rgb="FFFFFFFF"/>
      <name val="Calibri"/>
      <scheme val="minor"/>
    </font>
    <font>
      <b/>
      <sz val="11"/>
      <color rgb="FF1F4E78"/>
      <name val="Calibri"/>
      <scheme val="minor"/>
    </font>
    <font>
      <b/>
      <sz val="11"/>
      <color rgb="FF0070C0"/>
      <name val="Calibri"/>
      <scheme val="minor"/>
    </font>
    <font>
      <b/>
      <sz val="11"/>
      <color rgb="FFFFFFFF"/>
      <name val="Calibri"/>
      <family val="2"/>
      <scheme val="minor"/>
    </font>
    <font>
      <sz val="11"/>
      <color rgb="FF0070C0"/>
      <name val="Calibri"/>
      <scheme val="minor"/>
    </font>
    <font>
      <sz val="11"/>
      <color rgb="FF0070C0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1F4E78"/>
      <name val="Calibri"/>
      <family val="2"/>
      <scheme val="minor"/>
    </font>
    <font>
      <b/>
      <sz val="12"/>
      <color rgb="FFFFFFFF"/>
      <name val="Calibri"/>
      <scheme val="minor"/>
    </font>
    <font>
      <b/>
      <sz val="11"/>
      <color rgb="FF000000"/>
      <name val="Calibri"/>
      <scheme val="minor"/>
    </font>
    <font>
      <sz val="11"/>
      <color rgb="FF008000"/>
      <name val="Calibri"/>
      <scheme val="minor"/>
    </font>
    <font>
      <b/>
      <sz val="11"/>
      <color rgb="FF1F4E78"/>
      <name val="Calibri"/>
      <family val="2"/>
      <scheme val="minor"/>
    </font>
    <font>
      <sz val="11"/>
      <color rgb="FF375623"/>
      <name val="Calibri"/>
      <family val="2"/>
      <scheme val="minor"/>
    </font>
    <font>
      <sz val="11"/>
      <color rgb="FF833C0C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F4E78"/>
      <name val="Calibri"/>
      <family val="2"/>
      <scheme val="minor"/>
    </font>
    <font>
      <sz val="10"/>
      <color rgb="FF375623"/>
      <name val="Calibri"/>
      <family val="2"/>
      <scheme val="minor"/>
    </font>
    <font>
      <sz val="10"/>
      <color rgb="FF833C0C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FEC"/>
        <bgColor indexed="64"/>
      </patternFill>
    </fill>
  </fills>
  <borders count="102">
    <border>
      <left/>
      <right/>
      <top/>
      <bottom/>
      <diagonal/>
    </border>
    <border>
      <left/>
      <right/>
      <top style="thin">
        <color rgb="FFD9E2F3"/>
      </top>
      <bottom/>
      <diagonal/>
    </border>
    <border>
      <left/>
      <right/>
      <top style="thick">
        <color rgb="FF1F4E78"/>
      </top>
      <bottom/>
      <diagonal/>
    </border>
    <border>
      <left/>
      <right/>
      <top style="thin">
        <color rgb="FF1F4E78"/>
      </top>
      <bottom/>
      <diagonal/>
    </border>
    <border>
      <left/>
      <right/>
      <top style="thick">
        <color rgb="FF1F4E78"/>
      </top>
      <bottom style="thick">
        <color rgb="FF1F4E78"/>
      </bottom>
      <diagonal/>
    </border>
    <border>
      <left style="thick">
        <color rgb="FF1F4E78"/>
      </left>
      <right/>
      <top style="thick">
        <color rgb="FF1F4E78"/>
      </top>
      <bottom style="thick">
        <color rgb="FF1F4E78"/>
      </bottom>
      <diagonal/>
    </border>
    <border>
      <left/>
      <right style="thick">
        <color rgb="FF1F4E78"/>
      </right>
      <top style="thick">
        <color rgb="FF1F4E78"/>
      </top>
      <bottom style="thick">
        <color rgb="FF1F4E78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/>
      <bottom/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 style="thick">
        <color rgb="FF1F4E78"/>
      </top>
      <bottom style="thick">
        <color rgb="FF1F4E78"/>
      </bottom>
      <diagonal/>
    </border>
    <border>
      <left style="thin">
        <color rgb="FFD9E2F3"/>
      </left>
      <right style="thin">
        <color rgb="FFD9E2F3"/>
      </right>
      <top style="thin">
        <color rgb="FF1F4E78"/>
      </top>
      <bottom/>
      <diagonal/>
    </border>
    <border>
      <left style="thin">
        <color rgb="FFD9E2F3"/>
      </left>
      <right/>
      <top style="thin">
        <color rgb="FF1F4E78"/>
      </top>
      <bottom/>
      <diagonal/>
    </border>
    <border>
      <left style="thin">
        <color rgb="FFD9E2F3"/>
      </left>
      <right style="thin">
        <color rgb="FFD9E2F3"/>
      </right>
      <top style="thick">
        <color rgb="FF1F4E78"/>
      </top>
      <bottom/>
      <diagonal/>
    </border>
    <border>
      <left style="thin">
        <color rgb="FFD9E2F3"/>
      </left>
      <right/>
      <top style="thick">
        <color rgb="FF1F4E78"/>
      </top>
      <bottom/>
      <diagonal/>
    </border>
    <border>
      <left style="thin">
        <color rgb="FF1F4E78"/>
      </left>
      <right/>
      <top style="thick">
        <color rgb="FF1F4E78"/>
      </top>
      <bottom style="thin">
        <color rgb="FF1F4E78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1F4E78"/>
      </top>
      <bottom style="thin">
        <color rgb="FFD9E2F3"/>
      </bottom>
      <diagonal/>
    </border>
    <border>
      <left/>
      <right style="thin">
        <color rgb="FFD9E2F3"/>
      </right>
      <top style="thin">
        <color rgb="FF1F4E78"/>
      </top>
      <bottom/>
      <diagonal/>
    </border>
    <border>
      <left/>
      <right style="thin">
        <color rgb="FFD9E2F3"/>
      </right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 style="thick">
        <color rgb="FF1F4E78"/>
      </top>
      <bottom/>
      <diagonal/>
    </border>
    <border>
      <left style="thin">
        <color rgb="FFD9E2F3"/>
      </left>
      <right style="thin">
        <color rgb="FF1F4E78"/>
      </right>
      <top style="thick">
        <color rgb="FF1F4E78"/>
      </top>
      <bottom/>
      <diagonal/>
    </border>
    <border>
      <left/>
      <right/>
      <top style="thin">
        <color rgb="FFB4C6E7"/>
      </top>
      <bottom/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/>
      <diagonal/>
    </border>
    <border>
      <left style="thin">
        <color rgb="FFA9D18E"/>
      </left>
      <right/>
      <top style="thin">
        <color rgb="FFA9D18E"/>
      </top>
      <bottom/>
      <diagonal/>
    </border>
    <border>
      <left style="thin">
        <color rgb="FFA9D18E"/>
      </left>
      <right/>
      <top/>
      <bottom style="thin">
        <color rgb="FFA9D18E"/>
      </bottom>
      <diagonal/>
    </border>
    <border>
      <left/>
      <right style="thin">
        <color rgb="FFA9D18E"/>
      </right>
      <top style="thin">
        <color rgb="FFA9D18E"/>
      </top>
      <bottom/>
      <diagonal/>
    </border>
    <border>
      <left/>
      <right style="thin">
        <color rgb="FFA9D18E"/>
      </right>
      <top/>
      <bottom style="thin">
        <color rgb="FFA9D18E"/>
      </bottom>
      <diagonal/>
    </border>
    <border>
      <left style="thin">
        <color rgb="FFA9D18E"/>
      </left>
      <right/>
      <top/>
      <bottom/>
      <diagonal/>
    </border>
    <border>
      <left/>
      <right style="thin">
        <color rgb="FFA9D18E"/>
      </right>
      <top/>
      <bottom/>
      <diagonal/>
    </border>
    <border>
      <left/>
      <right/>
      <top/>
      <bottom style="thin">
        <color rgb="FFF4B183"/>
      </bottom>
      <diagonal/>
    </border>
    <border>
      <left style="thin">
        <color rgb="FFF4B183"/>
      </left>
      <right/>
      <top style="thin">
        <color rgb="FFF4B183"/>
      </top>
      <bottom style="thin">
        <color rgb="FFF4B183"/>
      </bottom>
      <diagonal/>
    </border>
    <border>
      <left style="thin">
        <color rgb="FFF4B183"/>
      </left>
      <right/>
      <top style="thin">
        <color rgb="FFF4B183"/>
      </top>
      <bottom/>
      <diagonal/>
    </border>
    <border>
      <left style="thin">
        <color rgb="FFF4B183"/>
      </left>
      <right/>
      <top/>
      <bottom style="thin">
        <color rgb="FFF4B183"/>
      </bottom>
      <diagonal/>
    </border>
    <border>
      <left/>
      <right style="thin">
        <color rgb="FFF4B183"/>
      </right>
      <top style="thin">
        <color rgb="FFF4B183"/>
      </top>
      <bottom/>
      <diagonal/>
    </border>
    <border>
      <left style="thin">
        <color rgb="FF9DC3E6"/>
      </left>
      <right/>
      <top style="thin">
        <color rgb="FF9DC3E6"/>
      </top>
      <bottom style="thin">
        <color rgb="FF9DC3E6"/>
      </bottom>
      <diagonal/>
    </border>
    <border>
      <left style="thin">
        <color rgb="FF9DC3E6"/>
      </left>
      <right/>
      <top style="thin">
        <color rgb="FF9DC3E6"/>
      </top>
      <bottom/>
      <diagonal/>
    </border>
    <border>
      <left style="thin">
        <color rgb="FF9DC3E6"/>
      </left>
      <right/>
      <top/>
      <bottom/>
      <diagonal/>
    </border>
    <border>
      <left style="thin">
        <color rgb="FF9DC3E6"/>
      </left>
      <right/>
      <top style="thick">
        <color rgb="FF1F4E78"/>
      </top>
      <bottom/>
      <diagonal/>
    </border>
    <border>
      <left style="thin">
        <color rgb="FF9DC3E6"/>
      </left>
      <right/>
      <top/>
      <bottom style="thin">
        <color rgb="FF9DC3E6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 style="thin">
        <color rgb="FF9DC3E6"/>
      </right>
      <top/>
      <bottom/>
      <diagonal/>
    </border>
    <border>
      <left style="thin">
        <color rgb="FF9DC3E6"/>
      </left>
      <right style="thin">
        <color rgb="FF9DC3E6"/>
      </right>
      <top/>
      <bottom style="thin">
        <color rgb="FF9DC3E6"/>
      </bottom>
      <diagonal/>
    </border>
    <border>
      <left/>
      <right/>
      <top style="thin">
        <color rgb="FFFFD966"/>
      </top>
      <bottom/>
      <diagonal/>
    </border>
    <border>
      <left/>
      <right/>
      <top/>
      <bottom style="thin">
        <color rgb="FFFFD966"/>
      </bottom>
      <diagonal/>
    </border>
    <border>
      <left style="thin">
        <color rgb="FFFFD966"/>
      </left>
      <right/>
      <top style="thin">
        <color rgb="FFFFD966"/>
      </top>
      <bottom/>
      <diagonal/>
    </border>
    <border>
      <left style="thin">
        <color rgb="FFFFD966"/>
      </left>
      <right/>
      <top/>
      <bottom/>
      <diagonal/>
    </border>
    <border>
      <left style="thin">
        <color rgb="FFFFD966"/>
      </left>
      <right/>
      <top style="thick">
        <color rgb="FF1F4E78"/>
      </top>
      <bottom/>
      <diagonal/>
    </border>
    <border>
      <left style="thin">
        <color rgb="FFFFD966"/>
      </left>
      <right/>
      <top/>
      <bottom style="thin">
        <color rgb="FFFFD966"/>
      </bottom>
      <diagonal/>
    </border>
    <border>
      <left/>
      <right/>
      <top style="thin">
        <color rgb="FFB4A7D6"/>
      </top>
      <bottom/>
      <diagonal/>
    </border>
    <border>
      <left/>
      <right/>
      <top/>
      <bottom style="thin">
        <color rgb="FFB4A7D6"/>
      </bottom>
      <diagonal/>
    </border>
    <border>
      <left style="thin">
        <color rgb="FFB4A7D6"/>
      </left>
      <right/>
      <top style="thin">
        <color rgb="FFB4A7D6"/>
      </top>
      <bottom/>
      <diagonal/>
    </border>
    <border>
      <left style="thin">
        <color rgb="FFB4A7D6"/>
      </left>
      <right/>
      <top/>
      <bottom/>
      <diagonal/>
    </border>
    <border>
      <left style="thin">
        <color rgb="FFB4A7D6"/>
      </left>
      <right/>
      <top style="thick">
        <color rgb="FF1F4E78"/>
      </top>
      <bottom/>
      <diagonal/>
    </border>
    <border>
      <left style="thin">
        <color rgb="FFB4A7D6"/>
      </left>
      <right/>
      <top/>
      <bottom style="thin">
        <color rgb="FFB4A7D6"/>
      </bottom>
      <diagonal/>
    </border>
    <border>
      <left style="thin">
        <color rgb="FFA9D18E"/>
      </left>
      <right/>
      <top style="thick">
        <color rgb="FF1F4E78"/>
      </top>
      <bottom/>
      <diagonal/>
    </border>
    <border>
      <left/>
      <right style="thin">
        <color rgb="FFA9D18E"/>
      </right>
      <top style="thick">
        <color rgb="FF1F4E78"/>
      </top>
      <bottom/>
      <diagonal/>
    </border>
    <border>
      <left/>
      <right/>
      <top style="thin">
        <color rgb="FF9DC3E6"/>
      </top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medium">
        <color rgb="FF1F4E78"/>
      </left>
      <right/>
      <top style="medium">
        <color rgb="FF1F4E78"/>
      </top>
      <bottom/>
      <diagonal/>
    </border>
    <border>
      <left/>
      <right style="medium">
        <color rgb="FF1F4E78"/>
      </right>
      <top style="medium">
        <color rgb="FF1F4E78"/>
      </top>
      <bottom/>
      <diagonal/>
    </border>
    <border>
      <left/>
      <right style="thin">
        <color rgb="FFF4B183"/>
      </right>
      <top style="thin">
        <color rgb="FFF4B183"/>
      </top>
      <bottom style="thin">
        <color rgb="FFF4B183"/>
      </bottom>
      <diagonal/>
    </border>
    <border>
      <left style="thin">
        <color rgb="FF9DC3E6"/>
      </left>
      <right/>
      <top style="thin">
        <color rgb="FFF4B183"/>
      </top>
      <bottom/>
      <diagonal/>
    </border>
    <border>
      <left/>
      <right style="thin">
        <color rgb="FF9DC3E6"/>
      </right>
      <top style="thin">
        <color rgb="FFF4B183"/>
      </top>
      <bottom/>
      <diagonal/>
    </border>
    <border>
      <left style="thin">
        <color rgb="FFA9D18E"/>
      </left>
      <right/>
      <top style="thin">
        <color rgb="FF1F4E78"/>
      </top>
      <bottom/>
      <diagonal/>
    </border>
    <border>
      <left style="thin">
        <color rgb="FF9DC3E6"/>
      </left>
      <right/>
      <top style="thin">
        <color rgb="FF1F4E78"/>
      </top>
      <bottom/>
      <diagonal/>
    </border>
    <border>
      <left style="thin">
        <color rgb="FFFFD966"/>
      </left>
      <right/>
      <top style="thin">
        <color rgb="FF1F4E78"/>
      </top>
      <bottom/>
      <diagonal/>
    </border>
    <border>
      <left style="thin">
        <color rgb="FFB4A7D6"/>
      </left>
      <right/>
      <top style="thin">
        <color rgb="FF1F4E78"/>
      </top>
      <bottom/>
      <diagonal/>
    </border>
    <border>
      <left/>
      <right style="thin">
        <color rgb="FFA9D18E"/>
      </right>
      <top style="thin">
        <color rgb="FF1F4E78"/>
      </top>
      <bottom/>
      <diagonal/>
    </border>
    <border>
      <left style="thin">
        <color rgb="FFF4B183"/>
      </left>
      <right/>
      <top style="thin">
        <color rgb="FF1F4E78"/>
      </top>
      <bottom/>
      <diagonal/>
    </border>
    <border>
      <left style="thin">
        <color rgb="FFF4B183"/>
      </left>
      <right/>
      <top style="thick">
        <color rgb="FF1F4E78"/>
      </top>
      <bottom/>
      <diagonal/>
    </border>
    <border>
      <left style="thin">
        <color rgb="FFF4B183"/>
      </left>
      <right/>
      <top/>
      <bottom/>
      <diagonal/>
    </border>
    <border>
      <left style="thin">
        <color rgb="FFB4C6E7"/>
      </left>
      <right/>
      <top style="thin">
        <color rgb="FF1F4E78"/>
      </top>
      <bottom/>
      <diagonal/>
    </border>
    <border>
      <left style="thin">
        <color rgb="FF9DC3E6"/>
      </left>
      <right style="thin">
        <color rgb="FF9DC3E6"/>
      </right>
      <top style="thin">
        <color rgb="FF1F4E78"/>
      </top>
      <bottom/>
      <diagonal/>
    </border>
    <border>
      <left style="thin">
        <color rgb="FFFFD966"/>
      </left>
      <right/>
      <top style="thin">
        <color rgb="FF9DC3E6"/>
      </top>
      <bottom/>
      <diagonal/>
    </border>
    <border>
      <left/>
      <right style="thin">
        <color rgb="FFFFD966"/>
      </right>
      <top style="thin">
        <color rgb="FF9DC3E6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9DC3E6"/>
      </left>
      <right/>
      <top style="thin">
        <color rgb="FFD9E2F3"/>
      </top>
      <bottom style="thin">
        <color rgb="FFD9E2F3"/>
      </bottom>
      <diagonal/>
    </border>
    <border>
      <left style="thin">
        <color rgb="FF9DC3E6"/>
      </left>
      <right/>
      <top/>
      <bottom style="thin">
        <color rgb="FFD9E2F3"/>
      </bottom>
      <diagonal/>
    </border>
    <border>
      <left style="thin">
        <color rgb="FFA9D18E"/>
      </left>
      <right style="thin">
        <color rgb="FFD9E2F3"/>
      </right>
      <top/>
      <bottom style="thin">
        <color rgb="FFA9D18E"/>
      </bottom>
      <diagonal/>
    </border>
    <border>
      <left style="thin">
        <color rgb="FFD9E2F3"/>
      </left>
      <right style="thin">
        <color rgb="FFD9E2F3"/>
      </right>
      <top/>
      <bottom style="thin">
        <color rgb="FFA9D18E"/>
      </bottom>
      <diagonal/>
    </border>
    <border>
      <left style="thin">
        <color rgb="FFD9E2F3"/>
      </left>
      <right/>
      <top/>
      <bottom style="thin">
        <color rgb="FFA9D18E"/>
      </bottom>
      <diagonal/>
    </border>
    <border>
      <left style="thin">
        <color rgb="FFA9D18E"/>
      </left>
      <right style="thin">
        <color rgb="FFD9E2F3"/>
      </right>
      <top style="thin">
        <color rgb="FF1F4E78"/>
      </top>
      <bottom/>
      <diagonal/>
    </border>
    <border>
      <left style="thin">
        <color rgb="FFD9E2F3"/>
      </left>
      <right style="thin">
        <color rgb="FFD9E2F3"/>
      </right>
      <top/>
      <bottom style="thick">
        <color rgb="FF1F4E78"/>
      </bottom>
      <diagonal/>
    </border>
    <border>
      <left style="thin">
        <color theme="4" tint="-0.249977111117893"/>
      </left>
      <right/>
      <top style="thin">
        <color theme="4" tint="-0.249977111117893"/>
      </top>
      <bottom/>
      <diagonal/>
    </border>
    <border>
      <left/>
      <right/>
      <top style="thin">
        <color theme="4" tint="-0.249977111117893"/>
      </top>
      <bottom/>
      <diagonal/>
    </border>
    <border>
      <left/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/>
      <top/>
      <bottom/>
      <diagonal/>
    </border>
    <border>
      <left/>
      <right style="thin">
        <color theme="4" tint="-0.249977111117893"/>
      </right>
      <top/>
      <bottom/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/>
      <right style="thin">
        <color theme="4" tint="-0.249977111117893"/>
      </right>
      <top/>
      <bottom style="thin">
        <color theme="4" tint="-0.249977111117893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3" fillId="0" borderId="0" applyNumberFormat="0" applyFill="0" applyBorder="0" applyAlignment="0" applyProtection="0"/>
  </cellStyleXfs>
  <cellXfs count="244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5" fillId="7" borderId="0" xfId="0" applyFont="1" applyFill="1" applyAlignment="1">
      <alignment horizontal="left" vertical="center"/>
    </xf>
    <xf numFmtId="164" fontId="5" fillId="7" borderId="0" xfId="0" applyNumberFormat="1" applyFont="1" applyFill="1" applyAlignment="1">
      <alignment horizontal="left" vertical="center"/>
    </xf>
    <xf numFmtId="0" fontId="6" fillId="8" borderId="0" xfId="0" applyFont="1" applyFill="1" applyAlignment="1">
      <alignment vertical="center"/>
    </xf>
    <xf numFmtId="164" fontId="6" fillId="8" borderId="0" xfId="0" applyNumberFormat="1" applyFont="1" applyFill="1" applyAlignment="1">
      <alignment vertical="center"/>
    </xf>
    <xf numFmtId="9" fontId="7" fillId="9" borderId="0" xfId="1" applyFont="1" applyFill="1" applyAlignment="1">
      <alignment vertical="center"/>
    </xf>
    <xf numFmtId="0" fontId="4" fillId="10" borderId="0" xfId="0" applyFont="1" applyFill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164" fontId="4" fillId="10" borderId="2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6" fillId="8" borderId="10" xfId="0" applyFont="1" applyFill="1" applyBorder="1" applyAlignment="1">
      <alignment horizontal="left"/>
    </xf>
    <xf numFmtId="0" fontId="6" fillId="8" borderId="11" xfId="0" applyFont="1" applyFill="1" applyBorder="1" applyAlignment="1">
      <alignment horizontal="left"/>
    </xf>
    <xf numFmtId="0" fontId="6" fillId="8" borderId="12" xfId="0" applyFont="1" applyFill="1" applyBorder="1" applyAlignment="1">
      <alignment horizontal="left"/>
    </xf>
    <xf numFmtId="0" fontId="6" fillId="8" borderId="14" xfId="0" applyFont="1" applyFill="1" applyBorder="1" applyAlignment="1">
      <alignment horizontal="left"/>
    </xf>
    <xf numFmtId="0" fontId="6" fillId="8" borderId="15" xfId="0" applyFont="1" applyFill="1" applyBorder="1" applyAlignment="1">
      <alignment horizontal="left"/>
    </xf>
    <xf numFmtId="0" fontId="6" fillId="8" borderId="16" xfId="0" applyFont="1" applyFill="1" applyBorder="1" applyAlignment="1">
      <alignment horizontal="left"/>
    </xf>
    <xf numFmtId="0" fontId="4" fillId="10" borderId="2" xfId="0" applyFont="1" applyFill="1" applyBorder="1" applyAlignment="1">
      <alignment horizontal="center"/>
    </xf>
    <xf numFmtId="0" fontId="4" fillId="10" borderId="17" xfId="0" applyFont="1" applyFill="1" applyBorder="1" applyAlignment="1">
      <alignment horizontal="center"/>
    </xf>
    <xf numFmtId="0" fontId="9" fillId="9" borderId="14" xfId="0" applyFont="1" applyFill="1" applyBorder="1" applyAlignment="1">
      <alignment horizontal="left"/>
    </xf>
    <xf numFmtId="0" fontId="9" fillId="9" borderId="15" xfId="0" applyFont="1" applyFill="1" applyBorder="1" applyAlignment="1">
      <alignment horizontal="left"/>
    </xf>
    <xf numFmtId="0" fontId="9" fillId="9" borderId="16" xfId="0" applyFont="1" applyFill="1" applyBorder="1" applyAlignment="1">
      <alignment horizontal="left"/>
    </xf>
    <xf numFmtId="165" fontId="11" fillId="11" borderId="11" xfId="0" applyNumberFormat="1" applyFont="1" applyFill="1" applyBorder="1" applyAlignment="1">
      <alignment horizontal="right"/>
    </xf>
    <xf numFmtId="165" fontId="11" fillId="11" borderId="12" xfId="0" applyNumberFormat="1" applyFont="1" applyFill="1" applyBorder="1" applyAlignment="1">
      <alignment horizontal="right"/>
    </xf>
    <xf numFmtId="165" fontId="11" fillId="11" borderId="14" xfId="0" applyNumberFormat="1" applyFont="1" applyFill="1" applyBorder="1" applyAlignment="1">
      <alignment horizontal="right"/>
    </xf>
    <xf numFmtId="165" fontId="11" fillId="11" borderId="15" xfId="0" applyNumberFormat="1" applyFont="1" applyFill="1" applyBorder="1" applyAlignment="1">
      <alignment horizontal="right"/>
    </xf>
    <xf numFmtId="166" fontId="9" fillId="9" borderId="13" xfId="0" applyNumberFormat="1" applyFont="1" applyFill="1" applyBorder="1" applyAlignment="1">
      <alignment horizontal="right"/>
    </xf>
    <xf numFmtId="165" fontId="14" fillId="7" borderId="22" xfId="0" applyNumberFormat="1" applyFont="1" applyFill="1" applyBorder="1" applyAlignment="1">
      <alignment horizontal="right"/>
    </xf>
    <xf numFmtId="165" fontId="15" fillId="12" borderId="16" xfId="0" applyNumberFormat="1" applyFont="1" applyFill="1" applyBorder="1" applyAlignment="1">
      <alignment horizontal="right"/>
    </xf>
    <xf numFmtId="165" fontId="15" fillId="12" borderId="9" xfId="0" applyNumberFormat="1" applyFont="1" applyFill="1" applyBorder="1" applyAlignment="1">
      <alignment horizontal="right"/>
    </xf>
    <xf numFmtId="0" fontId="6" fillId="8" borderId="7" xfId="0" applyFont="1" applyFill="1" applyBorder="1" applyAlignment="1">
      <alignment horizontal="left"/>
    </xf>
    <xf numFmtId="0" fontId="6" fillId="8" borderId="9" xfId="0" applyFont="1" applyFill="1" applyBorder="1" applyAlignment="1">
      <alignment horizontal="left"/>
    </xf>
    <xf numFmtId="0" fontId="6" fillId="8" borderId="23" xfId="0" applyFont="1" applyFill="1" applyBorder="1" applyAlignment="1">
      <alignment horizontal="left"/>
    </xf>
    <xf numFmtId="0" fontId="9" fillId="9" borderId="0" xfId="0" applyFont="1" applyFill="1" applyAlignment="1">
      <alignment horizontal="left"/>
    </xf>
    <xf numFmtId="0" fontId="9" fillId="9" borderId="3" xfId="0" applyFont="1" applyFill="1" applyBorder="1" applyAlignment="1">
      <alignment horizontal="left"/>
    </xf>
    <xf numFmtId="0" fontId="9" fillId="9" borderId="8" xfId="0" applyFont="1" applyFill="1" applyBorder="1" applyAlignment="1">
      <alignment horizontal="left"/>
    </xf>
    <xf numFmtId="0" fontId="16" fillId="11" borderId="18" xfId="0" applyFont="1" applyFill="1" applyBorder="1" applyAlignment="1">
      <alignment horizontal="left"/>
    </xf>
    <xf numFmtId="0" fontId="16" fillId="11" borderId="15" xfId="0" applyFont="1" applyFill="1" applyBorder="1" applyAlignment="1">
      <alignment horizontal="left"/>
    </xf>
    <xf numFmtId="0" fontId="16" fillId="11" borderId="16" xfId="0" applyFont="1" applyFill="1" applyBorder="1" applyAlignment="1">
      <alignment horizontal="left"/>
    </xf>
    <xf numFmtId="0" fontId="4" fillId="10" borderId="28" xfId="0" applyFont="1" applyFill="1" applyBorder="1" applyAlignment="1">
      <alignment horizontal="center"/>
    </xf>
    <xf numFmtId="165" fontId="11" fillId="11" borderId="19" xfId="0" applyNumberFormat="1" applyFont="1" applyFill="1" applyBorder="1" applyAlignment="1">
      <alignment horizontal="right"/>
    </xf>
    <xf numFmtId="165" fontId="11" fillId="11" borderId="25" xfId="0" applyNumberFormat="1" applyFont="1" applyFill="1" applyBorder="1" applyAlignment="1">
      <alignment horizontal="right"/>
    </xf>
    <xf numFmtId="165" fontId="11" fillId="11" borderId="26" xfId="0" applyNumberFormat="1" applyFont="1" applyFill="1" applyBorder="1" applyAlignment="1">
      <alignment horizontal="right"/>
    </xf>
    <xf numFmtId="165" fontId="11" fillId="11" borderId="27" xfId="0" applyNumberFormat="1" applyFont="1" applyFill="1" applyBorder="1" applyAlignment="1">
      <alignment horizontal="right"/>
    </xf>
    <xf numFmtId="165" fontId="14" fillId="7" borderId="29" xfId="0" applyNumberFormat="1" applyFont="1" applyFill="1" applyBorder="1" applyAlignment="1">
      <alignment horizontal="right"/>
    </xf>
    <xf numFmtId="165" fontId="9" fillId="9" borderId="24" xfId="0" applyNumberFormat="1" applyFont="1" applyFill="1" applyBorder="1" applyAlignment="1">
      <alignment horizontal="right"/>
    </xf>
    <xf numFmtId="0" fontId="3" fillId="9" borderId="15" xfId="7" applyNumberFormat="1" applyFill="1" applyBorder="1" applyAlignment="1">
      <alignment horizontal="left" wrapText="1"/>
    </xf>
    <xf numFmtId="0" fontId="17" fillId="8" borderId="11" xfId="0" applyFont="1" applyFill="1" applyBorder="1" applyAlignment="1">
      <alignment horizontal="left" wrapText="1"/>
    </xf>
    <xf numFmtId="0" fontId="13" fillId="8" borderId="0" xfId="0" applyFont="1" applyFill="1" applyAlignment="1">
      <alignment horizontal="left" vertical="center" wrapText="1"/>
    </xf>
    <xf numFmtId="0" fontId="13" fillId="8" borderId="30" xfId="0" applyFont="1" applyFill="1" applyBorder="1" applyAlignment="1">
      <alignment horizontal="left" vertical="center" wrapText="1"/>
    </xf>
    <xf numFmtId="0" fontId="13" fillId="8" borderId="31" xfId="0" applyFont="1" applyFill="1" applyBorder="1" applyAlignment="1">
      <alignment horizontal="left" vertical="center" wrapText="1"/>
    </xf>
    <xf numFmtId="0" fontId="18" fillId="13" borderId="0" xfId="0" applyFont="1" applyFill="1" applyAlignment="1">
      <alignment horizontal="left" vertical="center" wrapText="1"/>
    </xf>
    <xf numFmtId="0" fontId="13" fillId="8" borderId="33" xfId="0" applyFont="1" applyFill="1" applyBorder="1" applyAlignment="1">
      <alignment horizontal="left" vertical="center" wrapText="1"/>
    </xf>
    <xf numFmtId="0" fontId="18" fillId="13" borderId="38" xfId="0" applyFont="1" applyFill="1" applyBorder="1" applyAlignment="1">
      <alignment horizontal="left" vertical="center" wrapText="1"/>
    </xf>
    <xf numFmtId="0" fontId="19" fillId="14" borderId="40" xfId="0" applyFont="1" applyFill="1" applyBorder="1" applyAlignment="1">
      <alignment horizontal="left" vertical="center" wrapText="1"/>
    </xf>
    <xf numFmtId="0" fontId="19" fillId="14" borderId="43" xfId="0" applyFont="1" applyFill="1" applyBorder="1" applyAlignment="1">
      <alignment horizontal="left" vertical="center" wrapText="1"/>
    </xf>
    <xf numFmtId="165" fontId="10" fillId="9" borderId="46" xfId="0" applyNumberFormat="1" applyFont="1" applyFill="1" applyBorder="1" applyAlignment="1">
      <alignment horizontal="right" vertical="center" wrapText="1"/>
    </xf>
    <xf numFmtId="165" fontId="10" fillId="9" borderId="47" xfId="0" applyNumberFormat="1" applyFont="1" applyFill="1" applyBorder="1" applyAlignment="1">
      <alignment horizontal="right" vertical="center" wrapText="1"/>
    </xf>
    <xf numFmtId="165" fontId="10" fillId="9" borderId="48" xfId="0" applyNumberFormat="1" applyFont="1" applyFill="1" applyBorder="1" applyAlignment="1">
      <alignment horizontal="right" vertical="center" wrapText="1"/>
    </xf>
    <xf numFmtId="165" fontId="10" fillId="9" borderId="49" xfId="0" applyNumberFormat="1" applyFont="1" applyFill="1" applyBorder="1" applyAlignment="1">
      <alignment horizontal="right" vertical="center" wrapText="1"/>
    </xf>
    <xf numFmtId="165" fontId="12" fillId="12" borderId="0" xfId="0" applyNumberFormat="1" applyFont="1" applyFill="1" applyAlignment="1">
      <alignment horizontal="right" vertical="center" wrapText="1"/>
    </xf>
    <xf numFmtId="165" fontId="12" fillId="12" borderId="2" xfId="0" applyNumberFormat="1" applyFont="1" applyFill="1" applyBorder="1" applyAlignment="1">
      <alignment horizontal="right" vertical="center" wrapText="1"/>
    </xf>
    <xf numFmtId="165" fontId="12" fillId="12" borderId="53" xfId="0" applyNumberFormat="1" applyFont="1" applyFill="1" applyBorder="1" applyAlignment="1">
      <alignment horizontal="right" vertical="center" wrapText="1"/>
    </xf>
    <xf numFmtId="165" fontId="12" fillId="12" borderId="54" xfId="0" applyNumberFormat="1" applyFont="1" applyFill="1" applyBorder="1" applyAlignment="1">
      <alignment horizontal="right" vertical="center" wrapText="1"/>
    </xf>
    <xf numFmtId="165" fontId="12" fillId="12" borderId="55" xfId="0" applyNumberFormat="1" applyFont="1" applyFill="1" applyBorder="1" applyAlignment="1">
      <alignment horizontal="right" vertical="center" wrapText="1"/>
    </xf>
    <xf numFmtId="165" fontId="12" fillId="12" borderId="56" xfId="0" applyNumberFormat="1" applyFont="1" applyFill="1" applyBorder="1" applyAlignment="1">
      <alignment horizontal="right" vertical="center" wrapText="1"/>
    </xf>
    <xf numFmtId="165" fontId="12" fillId="12" borderId="57" xfId="0" applyNumberFormat="1" applyFont="1" applyFill="1" applyBorder="1" applyAlignment="1">
      <alignment horizontal="right" vertical="center" wrapText="1"/>
    </xf>
    <xf numFmtId="165" fontId="12" fillId="12" borderId="58" xfId="0" applyNumberFormat="1" applyFont="1" applyFill="1" applyBorder="1" applyAlignment="1">
      <alignment horizontal="right" vertical="center" wrapText="1"/>
    </xf>
    <xf numFmtId="165" fontId="20" fillId="15" borderId="0" xfId="0" applyNumberFormat="1" applyFont="1" applyFill="1" applyAlignment="1">
      <alignment horizontal="right" vertical="center" wrapText="1"/>
    </xf>
    <xf numFmtId="165" fontId="20" fillId="15" borderId="2" xfId="0" applyNumberFormat="1" applyFont="1" applyFill="1" applyBorder="1" applyAlignment="1">
      <alignment horizontal="right" vertical="center" wrapText="1"/>
    </xf>
    <xf numFmtId="165" fontId="20" fillId="15" borderId="59" xfId="0" applyNumberFormat="1" applyFont="1" applyFill="1" applyBorder="1" applyAlignment="1">
      <alignment horizontal="right" vertical="center" wrapText="1"/>
    </xf>
    <xf numFmtId="165" fontId="20" fillId="15" borderId="60" xfId="0" applyNumberFormat="1" applyFont="1" applyFill="1" applyBorder="1" applyAlignment="1">
      <alignment horizontal="right" vertical="center" wrapText="1"/>
    </xf>
    <xf numFmtId="165" fontId="20" fillId="15" borderId="61" xfId="0" applyNumberFormat="1" applyFont="1" applyFill="1" applyBorder="1" applyAlignment="1">
      <alignment horizontal="right" vertical="center" wrapText="1"/>
    </xf>
    <xf numFmtId="165" fontId="20" fillId="15" borderId="62" xfId="0" applyNumberFormat="1" applyFont="1" applyFill="1" applyBorder="1" applyAlignment="1">
      <alignment horizontal="right" vertical="center" wrapText="1"/>
    </xf>
    <xf numFmtId="165" fontId="20" fillId="15" borderId="63" xfId="0" applyNumberFormat="1" applyFont="1" applyFill="1" applyBorder="1" applyAlignment="1">
      <alignment horizontal="right" vertical="center" wrapText="1"/>
    </xf>
    <xf numFmtId="165" fontId="20" fillId="15" borderId="64" xfId="0" applyNumberFormat="1" applyFont="1" applyFill="1" applyBorder="1" applyAlignment="1">
      <alignment horizontal="right" vertical="center" wrapText="1"/>
    </xf>
    <xf numFmtId="165" fontId="18" fillId="13" borderId="34" xfId="0" applyNumberFormat="1" applyFont="1" applyFill="1" applyBorder="1" applyAlignment="1">
      <alignment horizontal="right" vertical="center" wrapText="1"/>
    </xf>
    <xf numFmtId="165" fontId="18" fillId="13" borderId="38" xfId="0" applyNumberFormat="1" applyFont="1" applyFill="1" applyBorder="1" applyAlignment="1">
      <alignment horizontal="right" vertical="center" wrapText="1"/>
    </xf>
    <xf numFmtId="165" fontId="18" fillId="13" borderId="65" xfId="0" applyNumberFormat="1" applyFont="1" applyFill="1" applyBorder="1" applyAlignment="1">
      <alignment horizontal="right" vertical="center" wrapText="1"/>
    </xf>
    <xf numFmtId="165" fontId="18" fillId="13" borderId="35" xfId="0" applyNumberFormat="1" applyFont="1" applyFill="1" applyBorder="1" applyAlignment="1">
      <alignment horizontal="right" vertical="center" wrapText="1"/>
    </xf>
    <xf numFmtId="165" fontId="18" fillId="13" borderId="36" xfId="0" applyNumberFormat="1" applyFont="1" applyFill="1" applyBorder="1" applyAlignment="1">
      <alignment horizontal="right" vertical="center" wrapText="1"/>
    </xf>
    <xf numFmtId="165" fontId="18" fillId="13" borderId="39" xfId="0" applyNumberFormat="1" applyFont="1" applyFill="1" applyBorder="1" applyAlignment="1">
      <alignment horizontal="right" vertical="center" wrapText="1"/>
    </xf>
    <xf numFmtId="165" fontId="18" fillId="13" borderId="66" xfId="0" applyNumberFormat="1" applyFont="1" applyFill="1" applyBorder="1" applyAlignment="1">
      <alignment horizontal="right" vertical="center" wrapText="1"/>
    </xf>
    <xf numFmtId="165" fontId="18" fillId="13" borderId="37" xfId="0" applyNumberFormat="1" applyFont="1" applyFill="1" applyBorder="1" applyAlignment="1">
      <alignment horizontal="right" vertical="center" wrapText="1"/>
    </xf>
    <xf numFmtId="9" fontId="21" fillId="9" borderId="67" xfId="1" applyFont="1" applyFill="1" applyBorder="1" applyAlignment="1">
      <alignment horizontal="center" vertical="center"/>
    </xf>
    <xf numFmtId="9" fontId="21" fillId="9" borderId="67" xfId="0" applyNumberFormat="1" applyFont="1" applyFill="1" applyBorder="1" applyAlignment="1">
      <alignment horizontal="center" vertical="center"/>
    </xf>
    <xf numFmtId="9" fontId="21" fillId="9" borderId="45" xfId="1" applyFont="1" applyFill="1" applyBorder="1" applyAlignment="1">
      <alignment horizontal="center" vertical="center"/>
    </xf>
    <xf numFmtId="9" fontId="21" fillId="9" borderId="68" xfId="1" applyFont="1" applyFill="1" applyBorder="1" applyAlignment="1">
      <alignment horizontal="center" vertical="center"/>
    </xf>
    <xf numFmtId="0" fontId="8" fillId="7" borderId="69" xfId="0" applyFont="1" applyFill="1" applyBorder="1" applyAlignment="1">
      <alignment horizontal="center"/>
    </xf>
    <xf numFmtId="0" fontId="8" fillId="7" borderId="70" xfId="0" applyFont="1" applyFill="1" applyBorder="1" applyAlignment="1">
      <alignment horizontal="center"/>
    </xf>
    <xf numFmtId="0" fontId="23" fillId="8" borderId="31" xfId="0" applyFont="1" applyFill="1" applyBorder="1" applyAlignment="1">
      <alignment horizontal="left"/>
    </xf>
    <xf numFmtId="0" fontId="23" fillId="8" borderId="32" xfId="0" applyFont="1" applyFill="1" applyBorder="1" applyAlignment="1">
      <alignment horizontal="left"/>
    </xf>
    <xf numFmtId="0" fontId="24" fillId="13" borderId="34" xfId="0" applyFont="1" applyFill="1" applyBorder="1" applyAlignment="1">
      <alignment horizontal="left" vertical="center"/>
    </xf>
    <xf numFmtId="0" fontId="24" fillId="13" borderId="36" xfId="0" applyFont="1" applyFill="1" applyBorder="1" applyAlignment="1">
      <alignment horizontal="left" vertical="center"/>
    </xf>
    <xf numFmtId="0" fontId="25" fillId="14" borderId="41" xfId="0" applyFont="1" applyFill="1" applyBorder="1" applyAlignment="1">
      <alignment horizontal="left"/>
    </xf>
    <xf numFmtId="0" fontId="25" fillId="14" borderId="71" xfId="0" applyFont="1" applyFill="1" applyBorder="1" applyAlignment="1">
      <alignment horizontal="left"/>
    </xf>
    <xf numFmtId="0" fontId="25" fillId="14" borderId="42" xfId="0" applyFont="1" applyFill="1" applyBorder="1" applyAlignment="1">
      <alignment horizontal="left"/>
    </xf>
    <xf numFmtId="0" fontId="25" fillId="14" borderId="44" xfId="0" applyFont="1" applyFill="1" applyBorder="1" applyAlignment="1">
      <alignment horizontal="left"/>
    </xf>
    <xf numFmtId="0" fontId="26" fillId="9" borderId="72" xfId="0" applyFont="1" applyFill="1" applyBorder="1" applyAlignment="1">
      <alignment horizontal="left"/>
    </xf>
    <xf numFmtId="0" fontId="26" fillId="9" borderId="73" xfId="0" applyFont="1" applyFill="1" applyBorder="1" applyAlignment="1">
      <alignment horizontal="left"/>
    </xf>
    <xf numFmtId="0" fontId="18" fillId="13" borderId="65" xfId="0" applyFont="1" applyFill="1" applyBorder="1" applyAlignment="1">
      <alignment horizontal="left" vertical="center" wrapText="1"/>
    </xf>
    <xf numFmtId="0" fontId="18" fillId="13" borderId="2" xfId="0" applyFont="1" applyFill="1" applyBorder="1" applyAlignment="1">
      <alignment horizontal="left" vertical="center" wrapText="1"/>
    </xf>
    <xf numFmtId="0" fontId="19" fillId="14" borderId="80" xfId="0" applyFont="1" applyFill="1" applyBorder="1" applyAlignment="1">
      <alignment horizontal="left" vertical="center" wrapText="1"/>
    </xf>
    <xf numFmtId="0" fontId="19" fillId="14" borderId="2" xfId="0" applyFont="1" applyFill="1" applyBorder="1" applyAlignment="1">
      <alignment horizontal="left" vertical="center" wrapText="1"/>
    </xf>
    <xf numFmtId="0" fontId="27" fillId="7" borderId="4" xfId="0" applyFont="1" applyFill="1" applyBorder="1" applyAlignment="1">
      <alignment horizontal="left"/>
    </xf>
    <xf numFmtId="0" fontId="27" fillId="7" borderId="5" xfId="0" applyFont="1" applyFill="1" applyBorder="1" applyAlignment="1">
      <alignment horizontal="left"/>
    </xf>
    <xf numFmtId="0" fontId="27" fillId="7" borderId="6" xfId="0" applyFont="1" applyFill="1" applyBorder="1" applyAlignment="1">
      <alignment horizontal="left"/>
    </xf>
    <xf numFmtId="0" fontId="13" fillId="8" borderId="0" xfId="0" applyFont="1" applyFill="1" applyAlignment="1">
      <alignment horizontal="left"/>
    </xf>
    <xf numFmtId="0" fontId="13" fillId="8" borderId="3" xfId="0" applyFont="1" applyFill="1" applyBorder="1" applyAlignment="1">
      <alignment horizontal="left"/>
    </xf>
    <xf numFmtId="0" fontId="13" fillId="8" borderId="82" xfId="0" applyFont="1" applyFill="1" applyBorder="1" applyAlignment="1">
      <alignment horizontal="left"/>
    </xf>
    <xf numFmtId="0" fontId="13" fillId="8" borderId="33" xfId="0" applyFont="1" applyFill="1" applyBorder="1" applyAlignment="1">
      <alignment horizontal="left"/>
    </xf>
    <xf numFmtId="0" fontId="19" fillId="14" borderId="0" xfId="0" applyFont="1" applyFill="1" applyAlignment="1">
      <alignment horizontal="left"/>
    </xf>
    <xf numFmtId="0" fontId="19" fillId="14" borderId="40" xfId="0" applyFont="1" applyFill="1" applyBorder="1" applyAlignment="1">
      <alignment horizontal="left"/>
    </xf>
    <xf numFmtId="0" fontId="19" fillId="14" borderId="81" xfId="0" applyFont="1" applyFill="1" applyBorder="1" applyAlignment="1">
      <alignment horizontal="left"/>
    </xf>
    <xf numFmtId="0" fontId="19" fillId="14" borderId="43" xfId="0" applyFont="1" applyFill="1" applyBorder="1" applyAlignment="1">
      <alignment horizontal="left"/>
    </xf>
    <xf numFmtId="165" fontId="10" fillId="9" borderId="75" xfId="0" applyNumberFormat="1" applyFont="1" applyFill="1" applyBorder="1" applyAlignment="1">
      <alignment horizontal="right"/>
    </xf>
    <xf numFmtId="165" fontId="10" fillId="9" borderId="47" xfId="0" applyNumberFormat="1" applyFont="1" applyFill="1" applyBorder="1" applyAlignment="1">
      <alignment horizontal="right"/>
    </xf>
    <xf numFmtId="165" fontId="10" fillId="9" borderId="49" xfId="0" applyNumberFormat="1" applyFont="1" applyFill="1" applyBorder="1" applyAlignment="1">
      <alignment horizontal="right"/>
    </xf>
    <xf numFmtId="165" fontId="10" fillId="9" borderId="83" xfId="0" applyNumberFormat="1" applyFont="1" applyFill="1" applyBorder="1" applyAlignment="1">
      <alignment horizontal="right"/>
    </xf>
    <xf numFmtId="165" fontId="10" fillId="9" borderId="51" xfId="0" applyNumberFormat="1" applyFont="1" applyFill="1" applyBorder="1" applyAlignment="1">
      <alignment horizontal="right"/>
    </xf>
    <xf numFmtId="165" fontId="12" fillId="12" borderId="0" xfId="0" applyNumberFormat="1" applyFont="1" applyFill="1" applyAlignment="1">
      <alignment horizontal="right"/>
    </xf>
    <xf numFmtId="165" fontId="12" fillId="12" borderId="2" xfId="0" applyNumberFormat="1" applyFont="1" applyFill="1" applyBorder="1" applyAlignment="1">
      <alignment horizontal="right"/>
    </xf>
    <xf numFmtId="165" fontId="12" fillId="12" borderId="3" xfId="0" applyNumberFormat="1" applyFont="1" applyFill="1" applyBorder="1" applyAlignment="1">
      <alignment horizontal="right"/>
    </xf>
    <xf numFmtId="165" fontId="12" fillId="12" borderId="54" xfId="0" applyNumberFormat="1" applyFont="1" applyFill="1" applyBorder="1" applyAlignment="1">
      <alignment horizontal="right"/>
    </xf>
    <xf numFmtId="165" fontId="12" fillId="12" borderId="76" xfId="0" applyNumberFormat="1" applyFont="1" applyFill="1" applyBorder="1" applyAlignment="1">
      <alignment horizontal="right"/>
    </xf>
    <xf numFmtId="165" fontId="12" fillId="12" borderId="56" xfId="0" applyNumberFormat="1" applyFont="1" applyFill="1" applyBorder="1" applyAlignment="1">
      <alignment horizontal="right"/>
    </xf>
    <xf numFmtId="165" fontId="12" fillId="12" borderId="58" xfId="0" applyNumberFormat="1" applyFont="1" applyFill="1" applyBorder="1" applyAlignment="1">
      <alignment horizontal="right"/>
    </xf>
    <xf numFmtId="165" fontId="20" fillId="15" borderId="0" xfId="0" applyNumberFormat="1" applyFont="1" applyFill="1" applyAlignment="1">
      <alignment horizontal="right"/>
    </xf>
    <xf numFmtId="165" fontId="20" fillId="15" borderId="2" xfId="0" applyNumberFormat="1" applyFont="1" applyFill="1" applyBorder="1" applyAlignment="1">
      <alignment horizontal="right"/>
    </xf>
    <xf numFmtId="165" fontId="20" fillId="15" borderId="3" xfId="0" applyNumberFormat="1" applyFont="1" applyFill="1" applyBorder="1" applyAlignment="1">
      <alignment horizontal="right"/>
    </xf>
    <xf numFmtId="165" fontId="20" fillId="15" borderId="60" xfId="0" applyNumberFormat="1" applyFont="1" applyFill="1" applyBorder="1" applyAlignment="1">
      <alignment horizontal="right"/>
    </xf>
    <xf numFmtId="165" fontId="20" fillId="15" borderId="77" xfId="0" applyNumberFormat="1" applyFont="1" applyFill="1" applyBorder="1" applyAlignment="1">
      <alignment horizontal="right"/>
    </xf>
    <xf numFmtId="165" fontId="20" fillId="15" borderId="62" xfId="0" applyNumberFormat="1" applyFont="1" applyFill="1" applyBorder="1" applyAlignment="1">
      <alignment horizontal="right"/>
    </xf>
    <xf numFmtId="165" fontId="20" fillId="15" borderId="64" xfId="0" applyNumberFormat="1" applyFont="1" applyFill="1" applyBorder="1" applyAlignment="1">
      <alignment horizontal="right"/>
    </xf>
    <xf numFmtId="165" fontId="18" fillId="13" borderId="74" xfId="0" applyNumberFormat="1" applyFont="1" applyFill="1" applyBorder="1" applyAlignment="1">
      <alignment horizontal="right"/>
    </xf>
    <xf numFmtId="165" fontId="18" fillId="13" borderId="38" xfId="0" applyNumberFormat="1" applyFont="1" applyFill="1" applyBorder="1" applyAlignment="1">
      <alignment horizontal="right"/>
    </xf>
    <xf numFmtId="165" fontId="18" fillId="13" borderId="35" xfId="0" applyNumberFormat="1" applyFont="1" applyFill="1" applyBorder="1" applyAlignment="1">
      <alignment horizontal="right"/>
    </xf>
    <xf numFmtId="165" fontId="18" fillId="13" borderId="78" xfId="0" applyNumberFormat="1" applyFont="1" applyFill="1" applyBorder="1" applyAlignment="1">
      <alignment horizontal="right"/>
    </xf>
    <xf numFmtId="165" fontId="18" fillId="13" borderId="39" xfId="0" applyNumberFormat="1" applyFont="1" applyFill="1" applyBorder="1" applyAlignment="1">
      <alignment horizontal="right"/>
    </xf>
    <xf numFmtId="165" fontId="18" fillId="13" borderId="37" xfId="0" applyNumberFormat="1" applyFont="1" applyFill="1" applyBorder="1" applyAlignment="1">
      <alignment horizontal="right"/>
    </xf>
    <xf numFmtId="0" fontId="22" fillId="12" borderId="84" xfId="0" applyFont="1" applyFill="1" applyBorder="1" applyAlignment="1">
      <alignment horizontal="left"/>
    </xf>
    <xf numFmtId="0" fontId="22" fillId="12" borderId="85" xfId="0" applyFont="1" applyFill="1" applyBorder="1" applyAlignment="1">
      <alignment horizontal="left"/>
    </xf>
    <xf numFmtId="0" fontId="19" fillId="14" borderId="80" xfId="0" applyFont="1" applyFill="1" applyBorder="1" applyAlignment="1">
      <alignment horizontal="left"/>
    </xf>
    <xf numFmtId="0" fontId="19" fillId="14" borderId="2" xfId="0" applyFont="1" applyFill="1" applyBorder="1" applyAlignment="1">
      <alignment horizontal="left"/>
    </xf>
    <xf numFmtId="165" fontId="10" fillId="9" borderId="48" xfId="0" applyNumberFormat="1" applyFont="1" applyFill="1" applyBorder="1" applyAlignment="1">
      <alignment horizontal="right"/>
    </xf>
    <xf numFmtId="165" fontId="12" fillId="12" borderId="57" xfId="0" applyNumberFormat="1" applyFont="1" applyFill="1" applyBorder="1" applyAlignment="1">
      <alignment horizontal="right"/>
    </xf>
    <xf numFmtId="165" fontId="20" fillId="15" borderId="63" xfId="0" applyNumberFormat="1" applyFont="1" applyFill="1" applyBorder="1" applyAlignment="1">
      <alignment horizontal="right"/>
    </xf>
    <xf numFmtId="165" fontId="18" fillId="13" borderId="65" xfId="0" applyNumberFormat="1" applyFont="1" applyFill="1" applyBorder="1" applyAlignment="1">
      <alignment horizontal="right"/>
    </xf>
    <xf numFmtId="165" fontId="18" fillId="13" borderId="66" xfId="0" applyNumberFormat="1" applyFont="1" applyFill="1" applyBorder="1" applyAlignment="1">
      <alignment horizontal="right"/>
    </xf>
    <xf numFmtId="0" fontId="8" fillId="10" borderId="21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10" fillId="9" borderId="50" xfId="0" applyFont="1" applyFill="1" applyBorder="1" applyAlignment="1">
      <alignment horizontal="right"/>
    </xf>
    <xf numFmtId="0" fontId="19" fillId="14" borderId="3" xfId="0" applyFont="1" applyFill="1" applyBorder="1" applyAlignment="1">
      <alignment horizontal="left"/>
    </xf>
    <xf numFmtId="0" fontId="19" fillId="14" borderId="79" xfId="0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8" fillId="10" borderId="20" xfId="0" applyFont="1" applyFill="1" applyBorder="1" applyAlignment="1">
      <alignment horizontal="center" vertical="center" wrapText="1"/>
    </xf>
    <xf numFmtId="165" fontId="10" fillId="9" borderId="52" xfId="0" applyNumberFormat="1" applyFont="1" applyFill="1" applyBorder="1" applyAlignment="1">
      <alignment horizontal="right" vertical="center"/>
    </xf>
    <xf numFmtId="0" fontId="8" fillId="10" borderId="20" xfId="0" applyFont="1" applyFill="1" applyBorder="1" applyAlignment="1">
      <alignment horizontal="center" vertical="center"/>
    </xf>
    <xf numFmtId="0" fontId="1" fillId="5" borderId="89" xfId="5" applyNumberFormat="1" applyBorder="1" applyAlignment="1">
      <alignment horizontal="left" vertical="center"/>
    </xf>
    <xf numFmtId="0" fontId="1" fillId="5" borderId="90" xfId="5" applyNumberFormat="1" applyBorder="1" applyAlignment="1">
      <alignment horizontal="left" vertical="center"/>
    </xf>
    <xf numFmtId="0" fontId="1" fillId="5" borderId="91" xfId="5" applyNumberFormat="1" applyBorder="1" applyAlignment="1">
      <alignment horizontal="left" vertical="center" wrapText="1"/>
    </xf>
    <xf numFmtId="0" fontId="1" fillId="2" borderId="92" xfId="2" applyNumberFormat="1" applyBorder="1" applyAlignment="1">
      <alignment horizontal="left" vertical="center"/>
    </xf>
    <xf numFmtId="0" fontId="1" fillId="2" borderId="18" xfId="2" applyNumberFormat="1" applyBorder="1" applyAlignment="1">
      <alignment horizontal="left" vertical="center"/>
    </xf>
    <xf numFmtId="0" fontId="1" fillId="2" borderId="19" xfId="2" applyNumberFormat="1" applyBorder="1" applyAlignment="1">
      <alignment horizontal="left" vertical="center" wrapText="1"/>
    </xf>
    <xf numFmtId="165" fontId="10" fillId="9" borderId="83" xfId="0" applyNumberFormat="1" applyFont="1" applyFill="1" applyBorder="1" applyAlignment="1">
      <alignment horizontal="right" vertical="center"/>
    </xf>
    <xf numFmtId="0" fontId="1" fillId="2" borderId="0" xfId="2" applyNumberFormat="1" applyBorder="1" applyAlignment="1">
      <alignment horizontal="left" vertical="center"/>
    </xf>
    <xf numFmtId="0" fontId="1" fillId="2" borderId="0" xfId="2" applyNumberFormat="1" applyBorder="1" applyAlignment="1">
      <alignment horizontal="left" vertical="center" wrapText="1"/>
    </xf>
    <xf numFmtId="165" fontId="10" fillId="9" borderId="0" xfId="0" applyNumberFormat="1" applyFont="1" applyFill="1" applyAlignment="1">
      <alignment horizontal="right" vertical="center"/>
    </xf>
    <xf numFmtId="0" fontId="1" fillId="3" borderId="0" xfId="3" applyNumberFormat="1" applyBorder="1" applyAlignment="1">
      <alignment horizontal="left" vertical="center"/>
    </xf>
    <xf numFmtId="0" fontId="1" fillId="3" borderId="0" xfId="3" applyNumberFormat="1" applyBorder="1" applyAlignment="1">
      <alignment horizontal="left" vertical="center" wrapText="1"/>
    </xf>
    <xf numFmtId="0" fontId="1" fillId="5" borderId="0" xfId="5" applyNumberFormat="1" applyBorder="1" applyAlignment="1">
      <alignment horizontal="left" vertical="center"/>
    </xf>
    <xf numFmtId="0" fontId="1" fillId="5" borderId="0" xfId="5" applyNumberFormat="1" applyBorder="1" applyAlignment="1">
      <alignment horizontal="left" vertical="center" wrapText="1"/>
    </xf>
    <xf numFmtId="0" fontId="8" fillId="10" borderId="2" xfId="0" applyFont="1" applyFill="1" applyBorder="1" applyAlignment="1">
      <alignment horizontal="center" vertical="center"/>
    </xf>
    <xf numFmtId="0" fontId="8" fillId="10" borderId="28" xfId="0" applyFont="1" applyFill="1" applyBorder="1" applyAlignment="1">
      <alignment horizontal="center" vertical="center"/>
    </xf>
    <xf numFmtId="0" fontId="8" fillId="10" borderId="93" xfId="0" applyFont="1" applyFill="1" applyBorder="1" applyAlignment="1">
      <alignment horizontal="center" vertical="center"/>
    </xf>
    <xf numFmtId="0" fontId="28" fillId="2" borderId="94" xfId="2" applyNumberFormat="1" applyFont="1" applyBorder="1" applyAlignment="1">
      <alignment horizontal="left" vertical="center"/>
    </xf>
    <xf numFmtId="0" fontId="28" fillId="2" borderId="95" xfId="2" applyNumberFormat="1" applyFont="1" applyBorder="1" applyAlignment="1">
      <alignment horizontal="left" vertical="center"/>
    </xf>
    <xf numFmtId="0" fontId="28" fillId="2" borderId="96" xfId="2" applyNumberFormat="1" applyFont="1" applyBorder="1" applyAlignment="1">
      <alignment horizontal="left" vertical="center"/>
    </xf>
    <xf numFmtId="165" fontId="28" fillId="2" borderId="0" xfId="2" applyNumberFormat="1" applyFont="1" applyBorder="1" applyAlignment="1">
      <alignment horizontal="right" vertical="center"/>
    </xf>
    <xf numFmtId="0" fontId="28" fillId="2" borderId="27" xfId="2" applyFont="1" applyBorder="1" applyAlignment="1">
      <alignment vertical="center"/>
    </xf>
    <xf numFmtId="0" fontId="28" fillId="2" borderId="97" xfId="2" applyNumberFormat="1" applyFont="1" applyBorder="1" applyAlignment="1">
      <alignment horizontal="left" vertical="center"/>
    </xf>
    <xf numFmtId="0" fontId="28" fillId="2" borderId="0" xfId="2" applyNumberFormat="1" applyFont="1" applyBorder="1" applyAlignment="1">
      <alignment horizontal="left" vertical="center"/>
    </xf>
    <xf numFmtId="0" fontId="28" fillId="2" borderId="98" xfId="2" applyNumberFormat="1" applyFont="1" applyBorder="1" applyAlignment="1">
      <alignment horizontal="left" vertical="center"/>
    </xf>
    <xf numFmtId="0" fontId="28" fillId="2" borderId="23" xfId="2" applyFont="1" applyBorder="1" applyAlignment="1">
      <alignment vertical="center"/>
    </xf>
    <xf numFmtId="0" fontId="28" fillId="3" borderId="97" xfId="3" applyNumberFormat="1" applyFont="1" applyBorder="1" applyAlignment="1">
      <alignment horizontal="left" vertical="center"/>
    </xf>
    <xf numFmtId="0" fontId="28" fillId="3" borderId="0" xfId="3" applyNumberFormat="1" applyFont="1" applyBorder="1" applyAlignment="1">
      <alignment horizontal="left" vertical="center"/>
    </xf>
    <xf numFmtId="0" fontId="28" fillId="3" borderId="98" xfId="3" applyNumberFormat="1" applyFont="1" applyBorder="1" applyAlignment="1">
      <alignment horizontal="left" vertical="center"/>
    </xf>
    <xf numFmtId="165" fontId="28" fillId="3" borderId="0" xfId="3" applyNumberFormat="1" applyFont="1" applyBorder="1" applyAlignment="1">
      <alignment horizontal="right" vertical="center"/>
    </xf>
    <xf numFmtId="0" fontId="28" fillId="3" borderId="23" xfId="3" applyFont="1" applyBorder="1" applyAlignment="1">
      <alignment vertical="center"/>
    </xf>
    <xf numFmtId="0" fontId="28" fillId="4" borderId="97" xfId="4" applyNumberFormat="1" applyFont="1" applyBorder="1" applyAlignment="1">
      <alignment horizontal="left" vertical="center"/>
    </xf>
    <xf numFmtId="0" fontId="28" fillId="4" borderId="0" xfId="4" applyNumberFormat="1" applyFont="1" applyBorder="1" applyAlignment="1">
      <alignment horizontal="left" vertical="center"/>
    </xf>
    <xf numFmtId="0" fontId="28" fillId="4" borderId="98" xfId="4" applyNumberFormat="1" applyFont="1" applyBorder="1" applyAlignment="1">
      <alignment horizontal="left" vertical="center"/>
    </xf>
    <xf numFmtId="165" fontId="28" fillId="4" borderId="0" xfId="4" applyNumberFormat="1" applyFont="1" applyBorder="1" applyAlignment="1">
      <alignment horizontal="right" vertical="center"/>
    </xf>
    <xf numFmtId="0" fontId="28" fillId="4" borderId="23" xfId="4" applyFont="1" applyBorder="1" applyAlignment="1">
      <alignment vertical="center"/>
    </xf>
    <xf numFmtId="0" fontId="28" fillId="5" borderId="97" xfId="5" applyNumberFormat="1" applyFont="1" applyBorder="1" applyAlignment="1">
      <alignment horizontal="left" vertical="center"/>
    </xf>
    <xf numFmtId="0" fontId="28" fillId="5" borderId="0" xfId="5" applyNumberFormat="1" applyFont="1" applyBorder="1" applyAlignment="1">
      <alignment horizontal="left" vertical="center"/>
    </xf>
    <xf numFmtId="0" fontId="28" fillId="5" borderId="98" xfId="5" applyNumberFormat="1" applyFont="1" applyBorder="1" applyAlignment="1">
      <alignment horizontal="left" vertical="center"/>
    </xf>
    <xf numFmtId="165" fontId="28" fillId="5" borderId="0" xfId="5" applyNumberFormat="1" applyFont="1" applyBorder="1" applyAlignment="1">
      <alignment horizontal="right" vertical="center"/>
    </xf>
    <xf numFmtId="0" fontId="28" fillId="5" borderId="23" xfId="5" applyFont="1" applyBorder="1" applyAlignment="1">
      <alignment vertical="center"/>
    </xf>
    <xf numFmtId="0" fontId="28" fillId="12" borderId="99" xfId="0" applyFont="1" applyFill="1" applyBorder="1" applyAlignment="1">
      <alignment horizontal="left" vertical="center"/>
    </xf>
    <xf numFmtId="0" fontId="28" fillId="12" borderId="100" xfId="0" applyFont="1" applyFill="1" applyBorder="1" applyAlignment="1">
      <alignment horizontal="left" vertical="center"/>
    </xf>
    <xf numFmtId="0" fontId="28" fillId="5" borderId="101" xfId="5" applyNumberFormat="1" applyFont="1" applyBorder="1" applyAlignment="1">
      <alignment horizontal="left" vertical="center"/>
    </xf>
    <xf numFmtId="0" fontId="28" fillId="6" borderId="0" xfId="6" applyNumberFormat="1" applyFont="1" applyBorder="1" applyAlignment="1">
      <alignment horizontal="left" vertical="center"/>
    </xf>
    <xf numFmtId="165" fontId="28" fillId="6" borderId="0" xfId="6" applyNumberFormat="1" applyFont="1" applyBorder="1" applyAlignment="1">
      <alignment horizontal="right" vertical="center"/>
    </xf>
    <xf numFmtId="0" fontId="28" fillId="6" borderId="23" xfId="6" applyFont="1" applyBorder="1" applyAlignment="1">
      <alignment vertical="center"/>
    </xf>
    <xf numFmtId="0" fontId="28" fillId="6" borderId="0" xfId="6" applyFont="1" applyBorder="1" applyAlignment="1">
      <alignment vertical="center"/>
    </xf>
    <xf numFmtId="0" fontId="28" fillId="6" borderId="0" xfId="6" applyFont="1" applyBorder="1" applyAlignment="1">
      <alignment horizontal="right" vertical="center"/>
    </xf>
    <xf numFmtId="0" fontId="28" fillId="2" borderId="0" xfId="2" applyFont="1" applyBorder="1" applyAlignment="1">
      <alignment vertical="center"/>
    </xf>
    <xf numFmtId="3" fontId="28" fillId="2" borderId="0" xfId="2" applyNumberFormat="1" applyFont="1" applyBorder="1" applyAlignment="1">
      <alignment horizontal="right" vertical="center"/>
    </xf>
    <xf numFmtId="0" fontId="28" fillId="2" borderId="0" xfId="2" applyFont="1" applyBorder="1" applyAlignment="1">
      <alignment horizontal="right" vertical="center"/>
    </xf>
    <xf numFmtId="0" fontId="28" fillId="2" borderId="100" xfId="2" applyFont="1" applyBorder="1" applyAlignment="1">
      <alignment vertical="center"/>
    </xf>
    <xf numFmtId="0" fontId="28" fillId="3" borderId="0" xfId="3" applyFont="1" applyBorder="1" applyAlignment="1">
      <alignment vertical="center"/>
    </xf>
    <xf numFmtId="0" fontId="28" fillId="3" borderId="0" xfId="3" applyFont="1" applyBorder="1" applyAlignment="1">
      <alignment horizontal="right" vertical="center"/>
    </xf>
    <xf numFmtId="0" fontId="28" fillId="4" borderId="0" xfId="4" applyFont="1" applyBorder="1" applyAlignment="1">
      <alignment vertical="center"/>
    </xf>
    <xf numFmtId="0" fontId="28" fillId="4" borderId="0" xfId="4" applyFont="1" applyBorder="1" applyAlignment="1">
      <alignment horizontal="right" vertical="center"/>
    </xf>
    <xf numFmtId="0" fontId="28" fillId="5" borderId="0" xfId="5" applyFont="1" applyBorder="1" applyAlignment="1">
      <alignment vertical="center"/>
    </xf>
    <xf numFmtId="0" fontId="28" fillId="5" borderId="0" xfId="5" applyFont="1" applyBorder="1" applyAlignment="1">
      <alignment horizontal="right" vertical="center"/>
    </xf>
    <xf numFmtId="0" fontId="28" fillId="5" borderId="86" xfId="5" applyFont="1" applyBorder="1" applyAlignment="1">
      <alignment vertical="center"/>
    </xf>
    <xf numFmtId="0" fontId="28" fillId="5" borderId="8" xfId="5" applyFont="1" applyBorder="1" applyAlignment="1">
      <alignment vertical="center"/>
    </xf>
    <xf numFmtId="0" fontId="28" fillId="5" borderId="7" xfId="5" applyFont="1" applyBorder="1" applyAlignment="1">
      <alignment vertical="center"/>
    </xf>
    <xf numFmtId="0" fontId="28" fillId="6" borderId="7" xfId="6" applyFont="1" applyBorder="1" applyAlignment="1">
      <alignment vertical="center"/>
    </xf>
    <xf numFmtId="0" fontId="28" fillId="2" borderId="16" xfId="2" applyFont="1" applyBorder="1" applyAlignment="1">
      <alignment vertical="center"/>
    </xf>
    <xf numFmtId="0" fontId="28" fillId="2" borderId="88" xfId="2" applyFont="1" applyBorder="1" applyAlignment="1">
      <alignment horizontal="right" vertical="center"/>
    </xf>
    <xf numFmtId="0" fontId="28" fillId="2" borderId="7" xfId="2" applyFont="1" applyBorder="1" applyAlignment="1">
      <alignment vertical="center"/>
    </xf>
    <xf numFmtId="0" fontId="28" fillId="2" borderId="13" xfId="2" applyFont="1" applyBorder="1" applyAlignment="1">
      <alignment vertical="center"/>
    </xf>
    <xf numFmtId="0" fontId="28" fillId="2" borderId="87" xfId="2" applyFont="1" applyBorder="1" applyAlignment="1">
      <alignment horizontal="right" vertical="center"/>
    </xf>
    <xf numFmtId="0" fontId="28" fillId="2" borderId="1" xfId="2" applyFont="1" applyBorder="1" applyAlignment="1">
      <alignment vertical="center"/>
    </xf>
    <xf numFmtId="0" fontId="27" fillId="7" borderId="5" xfId="0" applyFont="1" applyFill="1" applyBorder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0" fontId="27" fillId="7" borderId="6" xfId="0" applyFont="1" applyFill="1" applyBorder="1" applyAlignment="1">
      <alignment horizontal="center" vertical="center"/>
    </xf>
    <xf numFmtId="0" fontId="27" fillId="7" borderId="5" xfId="0" applyFont="1" applyFill="1" applyBorder="1" applyAlignment="1">
      <alignment horizontal="center"/>
    </xf>
    <xf numFmtId="0" fontId="27" fillId="7" borderId="4" xfId="0" applyFont="1" applyFill="1" applyBorder="1" applyAlignment="1">
      <alignment horizontal="center"/>
    </xf>
    <xf numFmtId="0" fontId="27" fillId="7" borderId="6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0" fillId="0" borderId="0" xfId="0"/>
  </cellXfs>
  <cellStyles count="8">
    <cellStyle name="20% - Accent1" xfId="2" builtinId="30"/>
    <cellStyle name="20% - Accent2" xfId="3" builtinId="34"/>
    <cellStyle name="20% - Accent3" xfId="4" builtinId="38"/>
    <cellStyle name="20% - Accent4" xfId="5" builtinId="42"/>
    <cellStyle name="20% - Accent6" xfId="6" builtinId="50"/>
    <cellStyle name="Hyperlink" xfId="7" builtinId="8"/>
    <cellStyle name="Normal" xfId="0" builtinId="0"/>
    <cellStyle name="Percent" xfId="1" builtinId="5"/>
  </cellStyles>
  <dxfs count="55">
    <dxf>
      <font>
        <strike val="0"/>
        <outline val="0"/>
        <shadow val="0"/>
        <u val="none"/>
        <vertAlign val="baseline"/>
        <sz val="11"/>
        <color theme="8" tint="-0.249977111117893"/>
        <name val="Calibri"/>
        <family val="2"/>
        <scheme val="minor"/>
      </font>
      <fill>
        <patternFill patternType="solid">
          <fgColor indexed="64"/>
          <bgColor rgb="FFDDEBF7"/>
        </patternFill>
      </fill>
      <alignment vertical="center" textRotation="0" wrapText="0" indent="0" justifyLastLine="0" shrinkToFit="0" readingOrder="0"/>
      <border diagonalUp="0" diagonalDown="0" outline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8" tint="-0.249977111117893"/>
        <name val="Calibri"/>
        <family val="2"/>
        <scheme val="minor"/>
      </font>
      <fill>
        <patternFill patternType="solid">
          <fgColor indexed="64"/>
          <bgColor rgb="FFEAF4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9DC3E6"/>
        </left>
        <right style="thin">
          <color rgb="FF9DC3E6"/>
        </right>
        <top style="thin">
          <color rgb="FFD9E2F3"/>
        </top>
        <bottom style="thin">
          <color rgb="FFD9E2F3"/>
        </bottom>
      </border>
    </dxf>
    <dxf>
      <font>
        <strike val="0"/>
        <outline val="0"/>
        <shadow val="0"/>
        <u val="none"/>
        <vertAlign val="baseline"/>
        <sz val="11"/>
        <color theme="8" tint="-0.249977111117893"/>
        <name val="Calibri"/>
        <family val="2"/>
        <scheme val="minor"/>
      </font>
      <fill>
        <patternFill patternType="solid">
          <fgColor indexed="64"/>
          <bgColor rgb="FFDDEBF7"/>
        </patternFill>
      </fill>
      <alignment vertical="center" textRotation="0" wrapText="0" indent="0" justifyLastLine="0" shrinkToFit="0" readingOrder="0"/>
      <border diagonalUp="0" diagonalDown="0" outline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font>
        <strike val="0"/>
        <outline val="0"/>
        <shadow val="0"/>
        <u val="none"/>
        <vertAlign val="baseline"/>
        <sz val="11"/>
        <color theme="8" tint="-0.249977111117893"/>
        <name val="Calibri"/>
        <family val="2"/>
        <scheme val="minor"/>
      </font>
      <fill>
        <patternFill patternType="solid">
          <fgColor indexed="64"/>
          <bgColor rgb="FFDDEBF7"/>
        </patternFill>
      </fill>
      <alignment vertical="center" textRotation="0" wrapText="0" indent="0" justifyLastLine="0" shrinkToFit="0" readingOrder="0"/>
      <border diagonalUp="0" diagonalDown="0" outline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font>
        <strike val="0"/>
        <outline val="0"/>
        <shadow val="0"/>
        <u val="none"/>
        <vertAlign val="baseline"/>
        <sz val="11"/>
        <color theme="8" tint="-0.249977111117893"/>
        <name val="Calibri"/>
        <family val="2"/>
        <scheme val="minor"/>
      </font>
      <fill>
        <patternFill patternType="solid">
          <fgColor indexed="64"/>
          <bgColor rgb="FFDDEBF7"/>
        </patternFill>
      </fill>
      <alignment vertical="center" textRotation="0" wrapText="0" indent="0" justifyLastLine="0" shrinkToFit="0" readingOrder="0"/>
      <border diagonalUp="0" diagonalDown="0" outline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font>
        <strike val="0"/>
        <outline val="0"/>
        <shadow val="0"/>
        <u val="none"/>
        <vertAlign val="baseline"/>
        <sz val="11"/>
        <color theme="8" tint="-0.249977111117893"/>
        <name val="Calibri"/>
        <family val="2"/>
        <scheme val="minor"/>
      </font>
      <fill>
        <patternFill patternType="solid">
          <fgColor indexed="64"/>
          <bgColor rgb="FFDDEBF7"/>
        </patternFill>
      </fill>
      <alignment vertical="center" textRotation="0" wrapText="0" indent="0" justifyLastLine="0" shrinkToFit="0" readingOrder="0"/>
      <border diagonalUp="0" diagonalDown="0" outline="0">
        <left/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border>
        <top style="thin">
          <color rgb="FFD9E2F3"/>
        </top>
      </border>
    </dxf>
    <dxf>
      <border>
        <bottom style="thick">
          <color rgb="FF1F4E78"/>
        </bottom>
      </border>
    </dxf>
    <dxf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font>
        <strike val="0"/>
        <outline val="0"/>
        <shadow val="0"/>
        <u val="none"/>
        <vertAlign val="baseline"/>
        <sz val="11"/>
        <color theme="8" tint="-0.249977111117893"/>
        <name val="Calibri"/>
        <family val="2"/>
        <scheme val="minor"/>
      </font>
      <alignment vertical="center" textRotation="0" wrapText="0" indent="0" justifyLastLine="0" shrinkToFit="0" readingOrder="0"/>
    </dxf>
    <dxf>
      <font>
        <b/>
        <i val="0"/>
        <strike val="0"/>
        <u val="none"/>
        <sz val="11"/>
        <color rgb="FFFFFFFF"/>
        <name val="Calibri"/>
      </font>
      <fill>
        <patternFill patternType="solid">
          <fgColor indexed="64"/>
          <bgColor rgb="FF2440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E2F3"/>
        </left>
        <right style="thin">
          <color rgb="FFD9E2F3"/>
        </right>
        <top/>
        <bottom/>
      </border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  <border diagonalUp="0" diagonalDown="0">
        <left/>
        <right style="thin">
          <color rgb="FFD9E2F3"/>
        </right>
        <top/>
        <bottom/>
        <vertical/>
        <horizontal/>
      </border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FFF"/>
        </patternFill>
      </fill>
      <alignment horizontal="right"/>
      <border diagonalUp="0" diagonalDown="0">
        <left style="thin">
          <color rgb="FFD9E2F3"/>
        </left>
        <right/>
        <top/>
        <bottom/>
        <vertical/>
        <horizontal/>
      </border>
    </dxf>
    <dxf>
      <font>
        <b val="0"/>
        <i val="0"/>
        <strike val="0"/>
        <u val="none"/>
        <sz val="11"/>
        <color rgb="FF0070C0"/>
        <name val="Calibri"/>
      </font>
      <fill>
        <patternFill patternType="solid">
          <fgColor indexed="64"/>
          <bgColor rgb="FFEAF4FF"/>
        </patternFill>
      </fill>
      <alignment horizontal="left"/>
      <border diagonalUp="0" diagonalDown="0">
        <left/>
        <right style="thin">
          <color rgb="FFD9E2F3"/>
        </right>
        <top/>
        <bottom/>
        <vertical/>
        <horizontal/>
      </border>
    </dxf>
    <dxf>
      <font>
        <b val="0"/>
        <i val="0"/>
        <strike val="0"/>
        <u val="none"/>
        <sz val="11"/>
        <color rgb="FF0070C0"/>
        <name val="Calibri"/>
      </font>
      <fill>
        <patternFill patternType="solid">
          <fgColor indexed="64"/>
          <bgColor rgb="FFEAF4FF"/>
        </patternFill>
      </fill>
      <alignment horizontal="left"/>
      <border diagonalUp="0" diagonalDown="0">
        <left style="thin">
          <color rgb="FFD9E2F3"/>
        </left>
        <right/>
        <top/>
        <bottom/>
        <vertical/>
        <horizontal/>
      </border>
    </dxf>
    <dxf>
      <font>
        <b val="0"/>
        <i val="0"/>
        <strike val="0"/>
        <u val="none"/>
        <sz val="11"/>
        <color rgb="FF008000"/>
        <name val="Calibri"/>
      </font>
      <fill>
        <patternFill patternType="solid">
          <fgColor indexed="64"/>
          <bgColor rgb="FFFFFFFF"/>
        </patternFill>
      </fill>
      <alignment horizontal="left"/>
      <border diagonalUp="0" diagonalDown="0">
        <left style="thin">
          <color rgb="FFD9E2F3"/>
        </left>
        <right style="thin">
          <color rgb="FFD9E2F3"/>
        </right>
        <top/>
        <bottom/>
        <vertical/>
        <horizontal/>
      </border>
    </dxf>
    <dxf>
      <border>
        <bottom style="thick">
          <color rgb="FF1F4E78"/>
        </bottom>
      </border>
    </dxf>
    <dxf>
      <font>
        <b/>
        <i val="0"/>
        <strike val="0"/>
        <u val="none"/>
        <sz val="11"/>
        <color rgb="FFFFFFFF"/>
        <name val="Calibri"/>
      </font>
      <fill>
        <patternFill patternType="solid">
          <fgColor indexed="64"/>
          <bgColor rgb="FF244062"/>
        </patternFill>
      </fill>
      <alignment horizontal="center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u val="none"/>
        <sz val="11"/>
        <color rgb="FF375623"/>
        <name val="Calibri"/>
      </font>
      <fill>
        <patternFill patternType="solid">
          <fgColor indexed="64"/>
          <bgColor rgb="FFE2F0D9"/>
        </patternFill>
      </fill>
      <alignment horizontal="right"/>
      <border diagonalUp="0" diagonalDown="0">
        <left/>
        <right style="thin">
          <color rgb="FFA9D18E"/>
        </right>
        <top/>
        <bottom/>
        <vertical/>
        <horizontal/>
      </border>
    </dxf>
    <dxf>
      <font>
        <b val="0"/>
        <i val="0"/>
        <strike val="0"/>
        <u val="none"/>
        <sz val="11"/>
        <color rgb="FF375623"/>
        <name val="Calibri"/>
      </font>
      <fill>
        <patternFill patternType="solid">
          <fgColor indexed="64"/>
          <bgColor rgb="FFE2F0D9"/>
        </patternFill>
      </fill>
      <alignment horizontal="right"/>
      <border diagonalUp="0" diagonalDown="0">
        <left style="thin">
          <color rgb="FFA9D18E"/>
        </left>
        <right/>
        <top/>
        <bottom/>
        <vertical/>
        <horizontal/>
      </border>
    </dxf>
    <dxf>
      <font>
        <b val="0"/>
        <i val="0"/>
        <strike val="0"/>
        <u val="none"/>
        <sz val="11"/>
        <color rgb="FF7030A0"/>
        <name val="Calibri"/>
      </font>
      <numFmt numFmtId="164" formatCode="_([$INR]\ * #,##0.00_);_([$INR]\ * \(#,##0.00\);_([$INR]\ * &quot;-&quot;??_);_(@_)"/>
      <fill>
        <patternFill patternType="solid">
          <fgColor indexed="64"/>
          <bgColor rgb="FFE4DFEC"/>
        </patternFill>
      </fill>
      <alignment horizontal="right"/>
      <border diagonalUp="0" diagonalDown="0">
        <left/>
        <right style="thin">
          <color rgb="FFB4A7D6"/>
        </right>
        <top/>
        <bottom/>
        <vertical/>
        <horizontal/>
      </border>
    </dxf>
    <dxf>
      <font>
        <b val="0"/>
        <i val="0"/>
        <strike val="0"/>
        <u val="none"/>
        <sz val="11"/>
        <color rgb="FF7030A0"/>
        <name val="Calibri"/>
      </font>
      <fill>
        <patternFill patternType="solid">
          <fgColor indexed="64"/>
          <bgColor rgb="FFE4DFEC"/>
        </patternFill>
      </fill>
      <alignment horizontal="right"/>
      <border diagonalUp="0" diagonalDown="0">
        <left style="thin">
          <color rgb="FFB4A7D6"/>
        </left>
        <right/>
        <top/>
        <bottom/>
        <vertical/>
        <horizontal/>
      </border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2CC"/>
        </patternFill>
      </fill>
      <alignment horizontal="right"/>
      <border diagonalUp="0" diagonalDown="0">
        <left/>
        <right style="thin">
          <color rgb="FFFFD966"/>
        </right>
        <top/>
        <bottom/>
        <vertical/>
        <horizontal/>
      </border>
    </dxf>
    <dxf>
      <font>
        <b val="0"/>
        <i val="0"/>
        <strike val="0"/>
        <u val="none"/>
        <sz val="11"/>
        <color rgb="FF000000"/>
        <name val="Calibri"/>
      </font>
      <fill>
        <patternFill patternType="solid">
          <fgColor indexed="64"/>
          <bgColor rgb="FFFFF2CC"/>
        </patternFill>
      </fill>
      <alignment horizontal="right"/>
      <border diagonalUp="0" diagonalDown="0">
        <left style="thin">
          <color rgb="FFFFD966"/>
        </left>
        <right/>
        <top/>
        <bottom/>
        <vertical/>
        <horizontal/>
      </border>
    </dxf>
    <dxf>
      <font>
        <b val="0"/>
        <i val="0"/>
        <strike val="0"/>
        <u val="none"/>
        <sz val="11"/>
        <color rgb="FF0070C0"/>
        <name val="Calibri"/>
      </font>
      <numFmt numFmtId="164" formatCode="_([$INR]\ * #,##0.00_);_([$INR]\ * \(#,##0.00\);_([$INR]\ * &quot;-&quot;??_);_(@_)"/>
      <fill>
        <patternFill patternType="solid">
          <fgColor indexed="64"/>
          <bgColor rgb="FFEAF4FF"/>
        </patternFill>
      </fill>
      <alignment horizontal="right"/>
      <border diagonalUp="0" diagonalDown="0">
        <left style="thin">
          <color rgb="FF9DC3E6"/>
        </left>
        <right style="thin">
          <color rgb="FF9DC3E6"/>
        </right>
        <top/>
        <bottom/>
        <vertical/>
        <horizontal/>
      </border>
    </dxf>
    <dxf>
      <border>
        <bottom style="thick">
          <color rgb="FF1F4E78"/>
        </bottom>
      </border>
    </dxf>
    <dxf>
      <font>
        <b/>
        <i val="0"/>
        <strike val="0"/>
        <u val="none"/>
        <sz val="11"/>
        <color rgb="FFFFFFFF"/>
        <name val="Calibri"/>
      </font>
      <fill>
        <patternFill patternType="solid">
          <fgColor indexed="64"/>
          <bgColor rgb="FF24406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u val="none"/>
        <sz val="11"/>
        <color rgb="FF375623"/>
        <name val="Calibri"/>
      </font>
      <numFmt numFmtId="3" formatCode="#,##0"/>
      <fill>
        <patternFill patternType="solid">
          <fgColor indexed="64"/>
          <bgColor rgb="FFE2F0D9"/>
        </patternFill>
      </fill>
      <alignment horizontal="right" vertical="center" textRotation="0" wrapText="1" indent="0" justifyLastLine="0" shrinkToFit="0" readingOrder="0"/>
      <border diagonalUp="0" diagonalDown="0">
        <left/>
        <right style="thin">
          <color rgb="FFA9D18E"/>
        </right>
        <vertical/>
      </border>
    </dxf>
    <dxf>
      <font>
        <b val="0"/>
        <i val="0"/>
        <strike val="0"/>
        <u val="none"/>
        <sz val="11"/>
        <color rgb="FF375623"/>
        <name val="Calibri"/>
      </font>
      <numFmt numFmtId="3" formatCode="#,##0"/>
      <fill>
        <patternFill patternType="solid">
          <fgColor indexed="64"/>
          <bgColor rgb="FFE2F0D9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A9D18E"/>
        </left>
        <right/>
        <vertical/>
      </border>
    </dxf>
    <dxf>
      <font>
        <b val="0"/>
        <i val="0"/>
        <strike val="0"/>
        <u val="none"/>
        <sz val="11"/>
        <color rgb="FF7030A0"/>
        <name val="Calibri"/>
      </font>
      <numFmt numFmtId="165" formatCode="\₹\ #,##0"/>
      <fill>
        <patternFill patternType="solid">
          <fgColor indexed="64"/>
          <bgColor rgb="FFE4DFEC"/>
        </patternFill>
      </fill>
      <alignment horizontal="right" vertical="center" textRotation="0" wrapText="1" indent="0" justifyLastLine="0" shrinkToFit="0" readingOrder="0"/>
      <border diagonalUp="0" diagonalDown="0">
        <left/>
        <right style="thin">
          <color rgb="FFB4A7D6"/>
        </right>
        <vertical/>
      </border>
    </dxf>
    <dxf>
      <font>
        <b val="0"/>
        <i val="0"/>
        <strike val="0"/>
        <u val="none"/>
        <sz val="11"/>
        <color rgb="FF7030A0"/>
        <name val="Calibri"/>
      </font>
      <numFmt numFmtId="165" formatCode="\₹\ #,##0"/>
      <fill>
        <patternFill patternType="solid">
          <fgColor indexed="64"/>
          <bgColor rgb="FFE4DFEC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u val="none"/>
        <sz val="11"/>
        <color rgb="FF000000"/>
        <name val="Calibri"/>
      </font>
      <numFmt numFmtId="3" formatCode="#,##0"/>
      <fill>
        <patternFill patternType="solid">
          <fgColor indexed="64"/>
          <bgColor rgb="FFFFF2CC"/>
        </patternFill>
      </fill>
      <alignment horizontal="right" vertical="center" textRotation="0" wrapText="1" indent="0" justifyLastLine="0" shrinkToFit="0" readingOrder="0"/>
      <border diagonalUp="0" diagonalDown="0">
        <left/>
        <right style="thin">
          <color rgb="FFFFD966"/>
        </right>
        <vertical/>
      </border>
    </dxf>
    <dxf>
      <font>
        <b val="0"/>
        <i val="0"/>
        <strike val="0"/>
        <u val="none"/>
        <sz val="11"/>
        <color rgb="FF000000"/>
        <name val="Calibri"/>
      </font>
      <numFmt numFmtId="3" formatCode="#,##0"/>
      <fill>
        <patternFill patternType="solid">
          <fgColor indexed="64"/>
          <bgColor rgb="FFFFF2CC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rgb="FFFFD966"/>
        </left>
        <right/>
      </border>
    </dxf>
    <dxf>
      <font>
        <b val="0"/>
        <i val="0"/>
        <strike val="0"/>
        <u val="none"/>
        <sz val="11"/>
        <color rgb="FF0070C0"/>
        <name val="Calibri"/>
      </font>
      <numFmt numFmtId="164" formatCode="_([$INR]\ * #,##0.00_);_([$INR]\ * \(#,##0.00\);_([$INR]\ * &quot;-&quot;??_);_(@_)"/>
      <fill>
        <patternFill patternType="solid">
          <fgColor indexed="64"/>
          <bgColor rgb="FFEAF4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9DC3E6"/>
        </left>
        <right style="thin">
          <color rgb="FF9DC3E6"/>
        </right>
        <vertical/>
      </border>
    </dxf>
    <dxf>
      <font>
        <sz val="11"/>
        <name val="Calibri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sz val="11"/>
        <name val="Calibri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border diagonalUp="0" diagonalDown="0">
        <left/>
        <right/>
        <top style="medium">
          <color rgb="FF1F4E78"/>
        </top>
        <bottom/>
      </border>
    </dxf>
    <dxf>
      <font>
        <sz val="11"/>
        <name val="Calibri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24406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u val="none"/>
        <sz val="11"/>
        <color rgb="FF0070C0"/>
        <name val="Calibri"/>
      </font>
      <fill>
        <patternFill patternType="solid">
          <fgColor indexed="64"/>
          <bgColor rgb="FFEAF4FF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9DC3E6"/>
        </left>
        <right style="thin">
          <color rgb="FF9DC3E6"/>
        </right>
        <top/>
        <bottom/>
      </border>
    </dxf>
    <dxf>
      <font>
        <b val="0"/>
        <i val="0"/>
        <strike val="0"/>
        <u val="none"/>
        <sz val="11"/>
        <color rgb="FF833C0C"/>
        <name val="Calibri"/>
      </font>
      <fill>
        <patternFill patternType="solid">
          <fgColor indexed="64"/>
          <bgColor rgb="FFFCE4D6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rgb="FFF4B183"/>
        </right>
        <top/>
        <bottom/>
      </border>
    </dxf>
    <dxf>
      <font>
        <b val="0"/>
        <i val="0"/>
        <strike val="0"/>
        <u val="none"/>
        <sz val="11"/>
        <color rgb="FF833C0C"/>
        <name val="Calibri"/>
      </font>
      <fill>
        <patternFill patternType="solid">
          <fgColor indexed="64"/>
          <bgColor rgb="FFFCE4D6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u val="none"/>
        <sz val="11"/>
        <color rgb="FF833C0C"/>
        <name val="Calibri"/>
      </font>
      <fill>
        <patternFill patternType="solid">
          <fgColor indexed="64"/>
          <bgColor rgb="FFFCE4D6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F4B183"/>
        </left>
        <right/>
        <top/>
        <bottom/>
      </border>
    </dxf>
    <dxf>
      <alignment vertical="bottom" textRotation="0" wrapText="0" indent="0" justifyLastLine="0" shrinkToFit="0" readingOrder="0"/>
    </dxf>
    <dxf>
      <border>
        <bottom style="thick">
          <color rgb="FF1F4E78"/>
        </bottom>
      </border>
    </dxf>
    <dxf>
      <font>
        <b/>
        <i val="0"/>
        <strike val="0"/>
        <u val="none"/>
        <sz val="11"/>
        <color rgb="FFFFFFFF"/>
        <name val="Calibri"/>
      </font>
      <fill>
        <patternFill patternType="solid">
          <fgColor indexed="64"/>
          <bgColor rgb="FF24406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u val="none"/>
        <sz val="11"/>
        <color rgb="FF0070C0"/>
        <name val="Calibri"/>
      </font>
      <fill>
        <patternFill patternType="solid">
          <fgColor indexed="64"/>
          <bgColor rgb="FFEAF4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9DC3E6"/>
        </left>
        <right style="thin">
          <color rgb="FF9DC3E6"/>
        </right>
        <top style="thin">
          <color rgb="FFD9E2F3"/>
        </top>
        <bottom style="thin">
          <color rgb="FFD9E2F3"/>
        </bottom>
      </border>
    </dxf>
    <dxf>
      <font>
        <b val="0"/>
        <i val="0"/>
        <strike val="0"/>
        <u val="none"/>
        <sz val="11"/>
        <color rgb="FF375623"/>
        <name val="Calibri"/>
      </font>
      <fill>
        <patternFill patternType="solid">
          <fgColor indexed="64"/>
          <bgColor rgb="FFE2F0D9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D9E2F3"/>
        </left>
        <right style="thin">
          <color rgb="FFA9D18E"/>
        </right>
        <top style="thin">
          <color rgb="FFD9E2F3"/>
        </top>
        <bottom style="thin">
          <color rgb="FFD9E2F3"/>
        </bottom>
      </border>
    </dxf>
    <dxf>
      <font>
        <b val="0"/>
        <i val="0"/>
        <strike val="0"/>
        <u val="none"/>
        <sz val="11"/>
        <color rgb="FF375623"/>
        <name val="Calibri"/>
      </font>
      <fill>
        <patternFill patternType="solid">
          <fgColor indexed="64"/>
          <bgColor rgb="FFE2F0D9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font>
        <b val="0"/>
        <i val="0"/>
        <strike val="0"/>
        <u val="none"/>
        <sz val="11"/>
        <color rgb="FF375623"/>
        <name val="Calibri"/>
      </font>
      <fill>
        <patternFill patternType="solid">
          <fgColor indexed="64"/>
          <bgColor rgb="FFE2F0D9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A9D18E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border>
        <top style="thin">
          <color rgb="FFD9E2F3"/>
        </top>
      </border>
    </dxf>
    <dxf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font>
        <sz val="11"/>
        <name val="Calibri"/>
      </font>
      <alignment vertical="center" textRotation="0" wrapText="0" indent="0" justifyLastLine="0" shrinkToFit="0" readingOrder="0"/>
    </dxf>
    <dxf>
      <border>
        <bottom style="thick">
          <color rgb="FF1F4E78"/>
        </bottom>
      </border>
    </dxf>
    <dxf>
      <font>
        <b/>
        <i val="0"/>
        <strike val="0"/>
        <u val="none"/>
        <sz val="11"/>
        <color rgb="FFFFFFFF"/>
        <name val="Calibri"/>
      </font>
      <fill>
        <patternFill patternType="solid">
          <fgColor indexed="64"/>
          <bgColor rgb="FF2440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E2F3"/>
        </left>
        <right style="thin">
          <color rgb="FFD9E2F3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345AE2B-7102-4B70-B122-B4B70E06FBDD}" name="BrandingReBrandingRates" displayName="BrandingReBrandingRates" ref="B4:E10" totalsRowShown="0" headerRowDxfId="54" dataDxfId="52" headerRowBorderDxfId="53" tableBorderDxfId="51" totalsRowBorderDxfId="50">
  <autoFilter ref="B4:E10" xr:uid="{0345AE2B-7102-4B70-B122-B4B70E06FBDD}"/>
  <tableColumns count="4">
    <tableColumn id="1" xr3:uid="{0240E3D0-B655-477A-9B79-5867AD9A89A0}" name="Service Category" dataDxfId="49"/>
    <tableColumn id="2" xr3:uid="{A383EB9E-A0E7-4F95-9FD2-B474C9F3F5E8}" name="Sub-Service" dataDxfId="48"/>
    <tableColumn id="3" xr3:uid="{26E908F6-08B5-4ABB-909A-8344BB3602F5}" name="Scope / Deliverables" dataDxfId="47"/>
    <tableColumn id="4" xr3:uid="{9C1DFFD2-398B-42A2-A268-A230B7D5355F}" name="Designer Rate" dataDxfId="46">
      <calculatedColumnFormula>Sheet1!D8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8C11CA5-61BF-40F4-829E-8350EDBDB245}" name="MarketingMaterialsRates" displayName="MarketingMaterialsRates" ref="B4:G54" totalsRowShown="0" headerRowDxfId="10" dataDxfId="9" headerRowBorderDxfId="7" tableBorderDxfId="8" totalsRowBorderDxfId="6">
  <autoFilter ref="B4:G54" xr:uid="{28C11CA5-61BF-40F4-829E-8350EDBDB245}"/>
  <tableColumns count="6">
    <tableColumn id="1" xr3:uid="{C4B1C36D-C4B6-4017-A458-08D06878707E}" name="Main Category" dataDxfId="5"/>
    <tableColumn id="2" xr3:uid="{27F57A32-340C-4714-836B-2E54E2AAD2F4}" name="Digital / Print" dataDxfId="4"/>
    <tableColumn id="3" xr3:uid="{AAD5FED2-DB68-44BC-885D-8C778921A00F}" name="Sub-Service" dataDxfId="3"/>
    <tableColumn id="4" xr3:uid="{A7EEFFAB-001C-46FC-AC22-C26393061C12}" name="Sub-Sub Service" dataDxfId="2"/>
    <tableColumn id="5" xr3:uid="{62FFF3DC-571D-4A74-B4DD-1F086F9E465B}" name="Designer Rate" dataDxfId="1"/>
    <tableColumn id="6" xr3:uid="{BEA98D18-B9C0-49B5-A419-C4B3A7100353}" name="Time Period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F453544-13B7-48DD-985D-C59233728AC1}" name="AddOnRates" displayName="AddOnRates" ref="B4:E9" totalsRowShown="0" headerRowDxfId="45" dataDxfId="43" headerRowBorderDxfId="44">
  <autoFilter ref="B4:E9" xr:uid="{1F453544-13B7-48DD-985D-C59233728AC1}"/>
  <tableColumns count="4">
    <tableColumn id="1" xr3:uid="{6259AA62-D2F9-4FE5-9F89-C74C11B2D5D0}" name="Service Category" dataDxfId="42"/>
    <tableColumn id="2" xr3:uid="{4CB15982-5D4C-4431-8BB6-8E2F021D1D76}" name="Sub-Service" dataDxfId="41"/>
    <tableColumn id="3" xr3:uid="{A7FCD6BD-0CE9-4380-9EF3-8A5A0EE149CC}" name="Scope / Deliverables" dataDxfId="40"/>
    <tableColumn id="4" xr3:uid="{BA04961E-8C48-4F7B-9054-27D087D02F91}" name="Designer Rate" dataDxfId="3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B08F00-8C2D-404E-B651-369BB64A2C57}" name="BrandingRateCard" displayName="BrandingRateCard" ref="B7:J13" totalsRowShown="0" headerRowDxfId="38" dataDxfId="37" tableBorderDxfId="36">
  <autoFilter ref="B7:J13" xr:uid="{C8B08F00-8C2D-404E-B651-369BB64A2C57}"/>
  <tableColumns count="9">
    <tableColumn id="1" xr3:uid="{DE372316-1109-4E3F-8F6A-99DA6395CB2E}" name="Service Category" dataDxfId="35"/>
    <tableColumn id="2" xr3:uid="{67147CB2-306E-43C3-AA42-A2FCF3C90DAE}" name="Sub-Service" dataDxfId="34"/>
    <tableColumn id="3" xr3:uid="{19F06C4E-A4A3-41CF-A4F2-B1C095134E26}" name="Designer Rate" dataDxfId="33"/>
    <tableColumn id="4" xr3:uid="{C4B268C9-92B7-40B2-AD8D-A8EB14F4D3C4}" name="Velnex Margin 30%" dataDxfId="32">
      <calculatedColumnFormula>D8*$E$6</calculatedColumnFormula>
    </tableColumn>
    <tableColumn id="5" xr3:uid="{C181D430-3253-4A25-ACB2-45267B52871B}" name="Client Rate" dataDxfId="31">
      <calculatedColumnFormula>D8+E8</calculatedColumnFormula>
    </tableColumn>
    <tableColumn id="6" xr3:uid="{09B8AC3B-250A-456A-A7E1-79B41221931A}" name="Sales Commission 40% of Velnex Margin" dataDxfId="30">
      <calculatedColumnFormula>E8*$G$6</calculatedColumnFormula>
    </tableColumn>
    <tableColumn id="7" xr3:uid="{CAAF0BB2-6EFE-4B11-8426-6346541792AF}" name="Sales Commission 60% of Velnex Margin" dataDxfId="29">
      <calculatedColumnFormula>E8*$H$6</calculatedColumnFormula>
    </tableColumn>
    <tableColumn id="8" xr3:uid="{C7B06365-AFE4-4E2A-B78D-7A5A6DDDE5B7}" name="Velnex Retained After 40% Commission" dataDxfId="28">
      <calculatedColumnFormula>E8-G8</calculatedColumnFormula>
    </tableColumn>
    <tableColumn id="9" xr3:uid="{AEFFB0F4-B721-451E-96EA-DC841090714E}" name="Velnex Retained After 60% Commission" dataDxfId="27">
      <calculatedColumnFormula>E8-H8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2BC241-D4BD-42A5-891B-38E3E400EE4F}" name="MarketingMaterialsRateCard" displayName="MarketingMaterialsRateCard" ref="B18:J24" totalsRowShown="0" headerRowDxfId="26" headerRowBorderDxfId="25">
  <autoFilter ref="B18:J24" xr:uid="{8B2BC241-D4BD-42A5-891B-38E3E400EE4F}"/>
  <tableColumns count="9">
    <tableColumn id="1" xr3:uid="{D2CE117A-1677-404D-99EE-7F8D1E74EEE9}" name="Service Category"/>
    <tableColumn id="2" xr3:uid="{9B849838-E4F5-42E1-80FE-5734271471CD}" name="Sub-Service"/>
    <tableColumn id="3" xr3:uid="{1C4B19CF-3E63-40A2-A143-3AEAC5913A93}" name="Designer Rate" dataDxfId="24"/>
    <tableColumn id="4" xr3:uid="{C4B3EB51-3DFC-4CD7-B7A5-F729CE19FAEA}" name="Velnex Margin 30%" dataDxfId="23">
      <calculatedColumnFormula>IF($D19="","",$D19*$E$6)</calculatedColumnFormula>
    </tableColumn>
    <tableColumn id="5" xr3:uid="{3E730406-1F38-4221-B9CB-13109E36F82F}" name="Client Rate" dataDxfId="22">
      <calculatedColumnFormula>IF($D19="","",$D19+E19)</calculatedColumnFormula>
    </tableColumn>
    <tableColumn id="6" xr3:uid="{861AC7F3-CAB0-49B9-BD45-5465F446D775}" name="Sales Commission 40% of Velnex Margin" dataDxfId="21">
      <calculatedColumnFormula>IF($D19="","",E19*$G$6)</calculatedColumnFormula>
    </tableColumn>
    <tableColumn id="7" xr3:uid="{3682C084-BC07-46AD-A198-4CD767E81E8E}" name="Sales Commission 60% of Velnex Margin" dataDxfId="20">
      <calculatedColumnFormula>IF($D19="","",E19*$H$6)</calculatedColumnFormula>
    </tableColumn>
    <tableColumn id="8" xr3:uid="{70CC97F9-07A4-45A2-8FF6-97CFD0749F4D}" name="Velnex Retained After 40% Commission" dataDxfId="19">
      <calculatedColumnFormula>IF($D19="","",E19-G19)</calculatedColumnFormula>
    </tableColumn>
    <tableColumn id="9" xr3:uid="{0A947F2C-633D-414E-A0AD-48077DD455C9}" name="Velnex Retained After 60% Commission" dataDxfId="18">
      <calculatedColumnFormula>IF($D19="","",E19-H19)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FE162A-84F4-454E-814C-02EAFDC66336}" name="InvoiceLineItems" displayName="InvoiceLineItems" ref="B16:G26" totalsRowShown="0" headerRowDxfId="17" headerRowBorderDxfId="16">
  <autoFilter ref="B16:G26" xr:uid="{59FE162A-84F4-454E-814C-02EAFDC663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C7CE730-8CC5-47C8-8BF7-626ABA2BF389}" name="#"/>
    <tableColumn id="2" xr3:uid="{84CE13F4-7B9E-4F42-93ED-22B8B7E5769E}" name="Service Category" dataDxfId="15">
      <calculatedColumnFormula>IFERROR(_xlfn.XLOOKUP(D17,Sheet1!$C$8:$C$13,Sheet1!$B$8:$B$13,""),"")</calculatedColumnFormula>
    </tableColumn>
    <tableColumn id="3" xr3:uid="{216DB536-0600-44D3-9C8E-9F46595AAD50}" name="Sub-Service" dataDxfId="14"/>
    <tableColumn id="4" xr3:uid="{8A1046E5-5A0F-4DA2-9726-C1FC3E8EB4C2}" name="Qty" dataDxfId="13"/>
    <tableColumn id="5" xr3:uid="{1D194D92-00C9-4FB8-AA88-4B4D640008DA}" name="Unit Rate" dataDxfId="12">
      <calculatedColumnFormula>IFERROR(_xlfn.XLOOKUP(D17,Sheet1!$C$8:$C$13,Sheet1!$F$8:$F$13,""),"")</calculatedColumnFormula>
    </tableColumn>
    <tableColumn id="6" xr3:uid="{E44D4D5B-596F-4FDE-8293-9D3FA5076C18}" name="Amount" dataDxfId="11">
      <calculatedColumnFormula>IFERROR(E17*F17,"")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1CC22D-61F0-44E7-8452-D682FDF97B25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hyperlink" Target="mailto:operations@velnex.in%20/%20+971%205559369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0C76-FA15-4BE4-B617-14374F024971}">
  <sheetPr>
    <tabColor rgb="FF70AD47"/>
  </sheetPr>
  <dimension ref="B1:E10"/>
  <sheetViews>
    <sheetView showGridLines="0" workbookViewId="0">
      <pane ySplit="4" topLeftCell="A5" activePane="bottomLeft" state="frozen"/>
      <selection pane="bottomLeft" activeCell="D17" sqref="D17"/>
    </sheetView>
  </sheetViews>
  <sheetFormatPr defaultRowHeight="14.4" x14ac:dyDescent="0.3"/>
  <cols>
    <col min="1" max="1" width="0.5546875" customWidth="1"/>
    <col min="2" max="2" width="20.44140625" style="2" bestFit="1" customWidth="1"/>
    <col min="3" max="3" width="30" style="2" bestFit="1" customWidth="1"/>
    <col min="4" max="4" width="39.44140625" style="7" customWidth="1"/>
    <col min="5" max="5" width="11.33203125" style="2" bestFit="1" customWidth="1"/>
  </cols>
  <sheetData>
    <row r="1" spans="2:5" ht="15" thickBot="1" x14ac:dyDescent="0.35"/>
    <row r="2" spans="2:5" ht="22.2" thickTop="1" thickBot="1" x14ac:dyDescent="0.35">
      <c r="B2" s="234" t="s">
        <v>115</v>
      </c>
      <c r="C2" s="235"/>
      <c r="D2" s="235"/>
      <c r="E2" s="236"/>
    </row>
    <row r="3" spans="2:5" ht="15.6" thickTop="1" thickBot="1" x14ac:dyDescent="0.35"/>
    <row r="4" spans="2:5" ht="15" thickTop="1" x14ac:dyDescent="0.3">
      <c r="B4" s="164" t="s">
        <v>2</v>
      </c>
      <c r="C4" s="164" t="s">
        <v>3</v>
      </c>
      <c r="D4" s="162" t="s">
        <v>86</v>
      </c>
      <c r="E4" s="164" t="s">
        <v>0</v>
      </c>
    </row>
    <row r="5" spans="2:5" ht="28.8" x14ac:dyDescent="0.3">
      <c r="B5" s="168" t="s">
        <v>93</v>
      </c>
      <c r="C5" s="169" t="s">
        <v>9</v>
      </c>
      <c r="D5" s="170" t="s">
        <v>87</v>
      </c>
      <c r="E5" s="171">
        <f>Sheet1!D8</f>
        <v>3000</v>
      </c>
    </row>
    <row r="6" spans="2:5" ht="28.8" x14ac:dyDescent="0.3">
      <c r="B6" s="172" t="s">
        <v>93</v>
      </c>
      <c r="C6" s="172" t="s">
        <v>10</v>
      </c>
      <c r="D6" s="173" t="s">
        <v>88</v>
      </c>
      <c r="E6" s="174">
        <f>Sheet1!D9</f>
        <v>15000</v>
      </c>
    </row>
    <row r="7" spans="2:5" ht="28.8" x14ac:dyDescent="0.3">
      <c r="B7" s="175" t="s">
        <v>93</v>
      </c>
      <c r="C7" s="175" t="s">
        <v>11</v>
      </c>
      <c r="D7" s="176" t="s">
        <v>89</v>
      </c>
      <c r="E7" s="174">
        <f>Sheet1!D10</f>
        <v>12500</v>
      </c>
    </row>
    <row r="8" spans="2:5" ht="28.8" x14ac:dyDescent="0.3">
      <c r="B8" s="175" t="s">
        <v>93</v>
      </c>
      <c r="C8" s="175" t="s">
        <v>12</v>
      </c>
      <c r="D8" s="176" t="s">
        <v>90</v>
      </c>
      <c r="E8" s="174">
        <f>Sheet1!D11</f>
        <v>40000</v>
      </c>
    </row>
    <row r="9" spans="2:5" ht="28.8" x14ac:dyDescent="0.3">
      <c r="B9" s="177" t="s">
        <v>93</v>
      </c>
      <c r="C9" s="177" t="s">
        <v>13</v>
      </c>
      <c r="D9" s="178" t="s">
        <v>91</v>
      </c>
      <c r="E9" s="174">
        <f>Sheet1!D12</f>
        <v>12500</v>
      </c>
    </row>
    <row r="10" spans="2:5" ht="28.8" x14ac:dyDescent="0.3">
      <c r="B10" s="165" t="s">
        <v>93</v>
      </c>
      <c r="C10" s="166" t="s">
        <v>14</v>
      </c>
      <c r="D10" s="167" t="s">
        <v>92</v>
      </c>
      <c r="E10" s="163">
        <f>Sheet1!D13</f>
        <v>40000</v>
      </c>
    </row>
  </sheetData>
  <mergeCells count="1">
    <mergeCell ref="B2:E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68E7A-FEA4-467B-8B78-F3C1A59362E6}">
  <sheetPr>
    <tabColor rgb="FF5B9BD5"/>
  </sheetPr>
  <dimension ref="B1:I73"/>
  <sheetViews>
    <sheetView showGridLines="0" tabSelected="1" zoomScale="85" zoomScaleNormal="85" workbookViewId="0">
      <pane ySplit="4" topLeftCell="A29" activePane="bottomLeft" state="frozen"/>
      <selection pane="bottomLeft" activeCell="G43" sqref="G43"/>
    </sheetView>
  </sheetViews>
  <sheetFormatPr defaultRowHeight="14.4" x14ac:dyDescent="0.3"/>
  <cols>
    <col min="1" max="1" width="0.5546875" customWidth="1"/>
    <col min="2" max="2" width="19.5546875" style="2" bestFit="1" customWidth="1"/>
    <col min="3" max="3" width="29.77734375" style="2" bestFit="1" customWidth="1"/>
    <col min="4" max="4" width="28.44140625" style="2" bestFit="1" customWidth="1"/>
    <col min="5" max="5" width="51.88671875" style="2" bestFit="1" customWidth="1"/>
    <col min="6" max="6" width="22.33203125" style="2" bestFit="1" customWidth="1"/>
    <col min="7" max="7" width="23.21875" bestFit="1" customWidth="1"/>
  </cols>
  <sheetData>
    <row r="1" spans="2:7" ht="15" thickBot="1" x14ac:dyDescent="0.35"/>
    <row r="2" spans="2:7" ht="22.2" thickTop="1" thickBot="1" x14ac:dyDescent="0.35">
      <c r="B2" s="234" t="s">
        <v>116</v>
      </c>
      <c r="C2" s="235"/>
      <c r="D2" s="235"/>
      <c r="E2" s="235"/>
      <c r="F2" s="236"/>
    </row>
    <row r="3" spans="2:7" ht="15.6" thickTop="1" thickBot="1" x14ac:dyDescent="0.35"/>
    <row r="4" spans="2:7" ht="15.6" thickTop="1" thickBot="1" x14ac:dyDescent="0.35">
      <c r="B4" s="164" t="s">
        <v>119</v>
      </c>
      <c r="C4" s="164" t="s">
        <v>120</v>
      </c>
      <c r="D4" s="164" t="s">
        <v>3</v>
      </c>
      <c r="E4" s="164" t="s">
        <v>121</v>
      </c>
      <c r="F4" s="164" t="s">
        <v>0</v>
      </c>
      <c r="G4" s="181" t="s">
        <v>122</v>
      </c>
    </row>
    <row r="5" spans="2:7" ht="15" thickTop="1" x14ac:dyDescent="0.3">
      <c r="B5" s="182" t="s">
        <v>95</v>
      </c>
      <c r="C5" s="183" t="s">
        <v>74</v>
      </c>
      <c r="D5" s="183" t="s">
        <v>123</v>
      </c>
      <c r="E5" s="184" t="s">
        <v>96</v>
      </c>
      <c r="F5" s="185" t="s">
        <v>124</v>
      </c>
      <c r="G5" s="186" t="s">
        <v>125</v>
      </c>
    </row>
    <row r="6" spans="2:7" x14ac:dyDescent="0.3">
      <c r="B6" s="187" t="s">
        <v>95</v>
      </c>
      <c r="C6" s="188" t="s">
        <v>74</v>
      </c>
      <c r="D6" s="188" t="s">
        <v>123</v>
      </c>
      <c r="E6" s="189" t="s">
        <v>126</v>
      </c>
      <c r="F6" s="185" t="s">
        <v>127</v>
      </c>
      <c r="G6" s="190" t="s">
        <v>128</v>
      </c>
    </row>
    <row r="7" spans="2:7" x14ac:dyDescent="0.3">
      <c r="B7" s="187" t="s">
        <v>95</v>
      </c>
      <c r="C7" s="188" t="s">
        <v>74</v>
      </c>
      <c r="D7" s="188" t="s">
        <v>123</v>
      </c>
      <c r="E7" s="189" t="s">
        <v>129</v>
      </c>
      <c r="F7" s="185" t="s">
        <v>124</v>
      </c>
      <c r="G7" s="190" t="s">
        <v>125</v>
      </c>
    </row>
    <row r="8" spans="2:7" x14ac:dyDescent="0.3">
      <c r="B8" s="187" t="s">
        <v>95</v>
      </c>
      <c r="C8" s="188" t="s">
        <v>74</v>
      </c>
      <c r="D8" s="188" t="s">
        <v>123</v>
      </c>
      <c r="E8" s="189" t="s">
        <v>130</v>
      </c>
      <c r="F8" s="185" t="s">
        <v>124</v>
      </c>
      <c r="G8" s="190" t="s">
        <v>125</v>
      </c>
    </row>
    <row r="9" spans="2:7" x14ac:dyDescent="0.3">
      <c r="B9" s="187" t="s">
        <v>95</v>
      </c>
      <c r="C9" s="188" t="s">
        <v>74</v>
      </c>
      <c r="D9" s="188" t="s">
        <v>123</v>
      </c>
      <c r="E9" s="189" t="s">
        <v>131</v>
      </c>
      <c r="F9" s="185" t="s">
        <v>124</v>
      </c>
      <c r="G9" s="190" t="s">
        <v>125</v>
      </c>
    </row>
    <row r="10" spans="2:7" x14ac:dyDescent="0.3">
      <c r="B10" s="187" t="s">
        <v>95</v>
      </c>
      <c r="C10" s="188" t="s">
        <v>74</v>
      </c>
      <c r="D10" s="188" t="s">
        <v>123</v>
      </c>
      <c r="E10" s="189" t="s">
        <v>132</v>
      </c>
      <c r="F10" s="185" t="s">
        <v>133</v>
      </c>
      <c r="G10" s="190" t="s">
        <v>134</v>
      </c>
    </row>
    <row r="11" spans="2:7" x14ac:dyDescent="0.3">
      <c r="B11" s="187" t="s">
        <v>95</v>
      </c>
      <c r="C11" s="188" t="s">
        <v>74</v>
      </c>
      <c r="D11" s="188" t="s">
        <v>123</v>
      </c>
      <c r="E11" s="189" t="s">
        <v>135</v>
      </c>
      <c r="F11" s="185" t="s">
        <v>136</v>
      </c>
      <c r="G11" s="190" t="s">
        <v>137</v>
      </c>
    </row>
    <row r="12" spans="2:7" x14ac:dyDescent="0.3">
      <c r="B12" s="187" t="s">
        <v>95</v>
      </c>
      <c r="C12" s="188" t="s">
        <v>74</v>
      </c>
      <c r="D12" s="188" t="s">
        <v>123</v>
      </c>
      <c r="E12" s="189" t="s">
        <v>138</v>
      </c>
      <c r="F12" s="185" t="s">
        <v>139</v>
      </c>
      <c r="G12" s="190" t="s">
        <v>125</v>
      </c>
    </row>
    <row r="13" spans="2:7" x14ac:dyDescent="0.3">
      <c r="B13" s="187" t="s">
        <v>95</v>
      </c>
      <c r="C13" s="188" t="s">
        <v>74</v>
      </c>
      <c r="D13" s="188" t="s">
        <v>123</v>
      </c>
      <c r="E13" s="189" t="s">
        <v>140</v>
      </c>
      <c r="F13" s="185" t="s">
        <v>139</v>
      </c>
      <c r="G13" s="190" t="s">
        <v>125</v>
      </c>
    </row>
    <row r="14" spans="2:7" x14ac:dyDescent="0.3">
      <c r="B14" s="191" t="s">
        <v>95</v>
      </c>
      <c r="C14" s="192" t="s">
        <v>74</v>
      </c>
      <c r="D14" s="192" t="s">
        <v>141</v>
      </c>
      <c r="E14" s="193" t="s">
        <v>142</v>
      </c>
      <c r="F14" s="194" t="s">
        <v>139</v>
      </c>
      <c r="G14" s="195" t="s">
        <v>125</v>
      </c>
    </row>
    <row r="15" spans="2:7" x14ac:dyDescent="0.3">
      <c r="B15" s="191" t="s">
        <v>95</v>
      </c>
      <c r="C15" s="192" t="s">
        <v>74</v>
      </c>
      <c r="D15" s="192" t="s">
        <v>141</v>
      </c>
      <c r="E15" s="193" t="s">
        <v>143</v>
      </c>
      <c r="F15" s="194" t="s">
        <v>144</v>
      </c>
      <c r="G15" s="195" t="s">
        <v>125</v>
      </c>
    </row>
    <row r="16" spans="2:7" x14ac:dyDescent="0.3">
      <c r="B16" s="191" t="s">
        <v>95</v>
      </c>
      <c r="C16" s="192" t="s">
        <v>74</v>
      </c>
      <c r="D16" s="192" t="s">
        <v>141</v>
      </c>
      <c r="E16" s="193" t="s">
        <v>145</v>
      </c>
      <c r="F16" s="194" t="s">
        <v>144</v>
      </c>
      <c r="G16" s="195" t="s">
        <v>125</v>
      </c>
    </row>
    <row r="17" spans="2:7" x14ac:dyDescent="0.3">
      <c r="B17" s="196" t="s">
        <v>95</v>
      </c>
      <c r="C17" s="197" t="s">
        <v>74</v>
      </c>
      <c r="D17" s="197" t="s">
        <v>146</v>
      </c>
      <c r="E17" s="198" t="s">
        <v>147</v>
      </c>
      <c r="F17" s="199" t="s">
        <v>148</v>
      </c>
      <c r="G17" s="200" t="s">
        <v>125</v>
      </c>
    </row>
    <row r="18" spans="2:7" x14ac:dyDescent="0.3">
      <c r="B18" s="196" t="s">
        <v>95</v>
      </c>
      <c r="C18" s="197" t="s">
        <v>74</v>
      </c>
      <c r="D18" s="197" t="s">
        <v>146</v>
      </c>
      <c r="E18" s="198" t="s">
        <v>97</v>
      </c>
      <c r="F18" s="199" t="s">
        <v>127</v>
      </c>
      <c r="G18" s="200" t="s">
        <v>128</v>
      </c>
    </row>
    <row r="19" spans="2:7" x14ac:dyDescent="0.3">
      <c r="B19" s="196" t="s">
        <v>95</v>
      </c>
      <c r="C19" s="197" t="s">
        <v>74</v>
      </c>
      <c r="D19" s="197" t="s">
        <v>146</v>
      </c>
      <c r="E19" s="198" t="s">
        <v>149</v>
      </c>
      <c r="F19" s="199" t="s">
        <v>127</v>
      </c>
      <c r="G19" s="200" t="s">
        <v>128</v>
      </c>
    </row>
    <row r="20" spans="2:7" x14ac:dyDescent="0.3">
      <c r="B20" s="196" t="s">
        <v>95</v>
      </c>
      <c r="C20" s="197" t="s">
        <v>74</v>
      </c>
      <c r="D20" s="197" t="s">
        <v>146</v>
      </c>
      <c r="E20" s="198" t="s">
        <v>150</v>
      </c>
      <c r="F20" s="199" t="s">
        <v>151</v>
      </c>
      <c r="G20" s="200" t="s">
        <v>134</v>
      </c>
    </row>
    <row r="21" spans="2:7" x14ac:dyDescent="0.3">
      <c r="B21" s="201" t="s">
        <v>95</v>
      </c>
      <c r="C21" s="202" t="s">
        <v>74</v>
      </c>
      <c r="D21" s="202" t="s">
        <v>152</v>
      </c>
      <c r="E21" s="203" t="s">
        <v>153</v>
      </c>
      <c r="F21" s="204" t="s">
        <v>154</v>
      </c>
      <c r="G21" s="205" t="s">
        <v>155</v>
      </c>
    </row>
    <row r="22" spans="2:7" x14ac:dyDescent="0.3">
      <c r="B22" s="201" t="s">
        <v>95</v>
      </c>
      <c r="C22" s="202" t="s">
        <v>74</v>
      </c>
      <c r="D22" s="202" t="s">
        <v>152</v>
      </c>
      <c r="E22" s="203" t="s">
        <v>156</v>
      </c>
      <c r="F22" s="204" t="s">
        <v>157</v>
      </c>
      <c r="G22" s="205" t="s">
        <v>158</v>
      </c>
    </row>
    <row r="23" spans="2:7" x14ac:dyDescent="0.3">
      <c r="B23" s="201" t="s">
        <v>95</v>
      </c>
      <c r="C23" s="202" t="s">
        <v>74</v>
      </c>
      <c r="D23" s="202" t="s">
        <v>152</v>
      </c>
      <c r="E23" s="203" t="s">
        <v>159</v>
      </c>
      <c r="F23" s="204" t="s">
        <v>160</v>
      </c>
      <c r="G23" s="205" t="s">
        <v>158</v>
      </c>
    </row>
    <row r="24" spans="2:7" x14ac:dyDescent="0.3">
      <c r="B24" s="206" t="s">
        <v>95</v>
      </c>
      <c r="C24" s="207" t="s">
        <v>74</v>
      </c>
      <c r="D24" s="207" t="s">
        <v>152</v>
      </c>
      <c r="E24" s="208" t="s">
        <v>161</v>
      </c>
      <c r="F24" s="204" t="s">
        <v>162</v>
      </c>
      <c r="G24" s="205" t="s">
        <v>158</v>
      </c>
    </row>
    <row r="25" spans="2:7" x14ac:dyDescent="0.3">
      <c r="B25" s="209" t="s">
        <v>95</v>
      </c>
      <c r="C25" s="209" t="s">
        <v>78</v>
      </c>
      <c r="D25" s="209" t="s">
        <v>163</v>
      </c>
      <c r="E25" s="209" t="s">
        <v>164</v>
      </c>
      <c r="F25" s="210" t="s">
        <v>165</v>
      </c>
      <c r="G25" s="211" t="s">
        <v>128</v>
      </c>
    </row>
    <row r="26" spans="2:7" x14ac:dyDescent="0.3">
      <c r="B26" s="209" t="s">
        <v>95</v>
      </c>
      <c r="C26" s="209" t="s">
        <v>78</v>
      </c>
      <c r="D26" s="209" t="s">
        <v>163</v>
      </c>
      <c r="E26" s="209" t="s">
        <v>166</v>
      </c>
      <c r="F26" s="210" t="s">
        <v>151</v>
      </c>
      <c r="G26" s="211" t="s">
        <v>134</v>
      </c>
    </row>
    <row r="27" spans="2:7" x14ac:dyDescent="0.3">
      <c r="B27" s="209" t="s">
        <v>95</v>
      </c>
      <c r="C27" s="209" t="s">
        <v>78</v>
      </c>
      <c r="D27" s="209" t="s">
        <v>163</v>
      </c>
      <c r="E27" s="209" t="s">
        <v>167</v>
      </c>
      <c r="F27" s="210" t="s">
        <v>127</v>
      </c>
      <c r="G27" s="211" t="s">
        <v>128</v>
      </c>
    </row>
    <row r="28" spans="2:7" x14ac:dyDescent="0.3">
      <c r="B28" s="212" t="s">
        <v>95</v>
      </c>
      <c r="C28" s="212" t="s">
        <v>78</v>
      </c>
      <c r="D28" s="212" t="s">
        <v>163</v>
      </c>
      <c r="E28" s="212" t="s">
        <v>98</v>
      </c>
      <c r="F28" s="213" t="s">
        <v>151</v>
      </c>
      <c r="G28" s="211" t="s">
        <v>134</v>
      </c>
    </row>
    <row r="29" spans="2:7" x14ac:dyDescent="0.3">
      <c r="B29" s="214" t="s">
        <v>95</v>
      </c>
      <c r="C29" s="214" t="s">
        <v>120</v>
      </c>
      <c r="D29" s="214" t="s">
        <v>80</v>
      </c>
      <c r="E29" s="214" t="s">
        <v>168</v>
      </c>
      <c r="F29" s="215" t="s">
        <v>169</v>
      </c>
      <c r="G29" s="190" t="s">
        <v>170</v>
      </c>
    </row>
    <row r="30" spans="2:7" x14ac:dyDescent="0.3">
      <c r="B30" s="214" t="s">
        <v>95</v>
      </c>
      <c r="C30" s="214" t="s">
        <v>120</v>
      </c>
      <c r="D30" s="214" t="s">
        <v>80</v>
      </c>
      <c r="E30" s="214" t="s">
        <v>171</v>
      </c>
      <c r="F30" s="216" t="s">
        <v>172</v>
      </c>
      <c r="G30" s="190" t="s">
        <v>155</v>
      </c>
    </row>
    <row r="31" spans="2:7" x14ac:dyDescent="0.3">
      <c r="B31" s="214" t="s">
        <v>95</v>
      </c>
      <c r="C31" s="214" t="s">
        <v>120</v>
      </c>
      <c r="D31" s="214" t="s">
        <v>80</v>
      </c>
      <c r="E31" s="214" t="s">
        <v>173</v>
      </c>
      <c r="F31" s="216" t="s">
        <v>174</v>
      </c>
      <c r="G31" s="190" t="s">
        <v>158</v>
      </c>
    </row>
    <row r="32" spans="2:7" x14ac:dyDescent="0.3">
      <c r="B32" s="214" t="s">
        <v>95</v>
      </c>
      <c r="C32" s="214" t="s">
        <v>120</v>
      </c>
      <c r="D32" s="214" t="s">
        <v>80</v>
      </c>
      <c r="E32" s="217" t="s">
        <v>175</v>
      </c>
      <c r="F32" s="216" t="s">
        <v>176</v>
      </c>
      <c r="G32" s="190" t="s">
        <v>177</v>
      </c>
    </row>
    <row r="33" spans="2:7" x14ac:dyDescent="0.3">
      <c r="B33" s="214" t="s">
        <v>95</v>
      </c>
      <c r="C33" s="214" t="s">
        <v>120</v>
      </c>
      <c r="D33" s="214" t="s">
        <v>80</v>
      </c>
      <c r="E33" s="214" t="s">
        <v>178</v>
      </c>
      <c r="F33" s="216" t="s">
        <v>179</v>
      </c>
      <c r="G33" s="190" t="s">
        <v>180</v>
      </c>
    </row>
    <row r="34" spans="2:7" x14ac:dyDescent="0.3">
      <c r="B34" s="214" t="s">
        <v>95</v>
      </c>
      <c r="C34" s="214" t="s">
        <v>120</v>
      </c>
      <c r="D34" s="214" t="s">
        <v>80</v>
      </c>
      <c r="E34" s="214" t="s">
        <v>99</v>
      </c>
      <c r="F34" s="216" t="s">
        <v>181</v>
      </c>
      <c r="G34" s="190" t="s">
        <v>182</v>
      </c>
    </row>
    <row r="35" spans="2:7" x14ac:dyDescent="0.3">
      <c r="B35" s="218" t="s">
        <v>95</v>
      </c>
      <c r="C35" s="218" t="s">
        <v>120</v>
      </c>
      <c r="D35" s="218" t="s">
        <v>183</v>
      </c>
      <c r="E35" s="218" t="s">
        <v>184</v>
      </c>
      <c r="F35" s="219" t="s">
        <v>185</v>
      </c>
      <c r="G35" s="195" t="s">
        <v>158</v>
      </c>
    </row>
    <row r="36" spans="2:7" x14ac:dyDescent="0.3">
      <c r="B36" s="218" t="s">
        <v>95</v>
      </c>
      <c r="C36" s="218" t="s">
        <v>120</v>
      </c>
      <c r="D36" s="218" t="s">
        <v>183</v>
      </c>
      <c r="E36" s="218" t="s">
        <v>186</v>
      </c>
      <c r="F36" s="219" t="s">
        <v>187</v>
      </c>
      <c r="G36" s="195" t="s">
        <v>188</v>
      </c>
    </row>
    <row r="37" spans="2:7" x14ac:dyDescent="0.3">
      <c r="B37" s="218" t="s">
        <v>95</v>
      </c>
      <c r="C37" s="218" t="s">
        <v>120</v>
      </c>
      <c r="D37" s="218" t="s">
        <v>183</v>
      </c>
      <c r="E37" s="218" t="s">
        <v>189</v>
      </c>
      <c r="F37" s="219" t="s">
        <v>181</v>
      </c>
      <c r="G37" s="195" t="s">
        <v>182</v>
      </c>
    </row>
    <row r="38" spans="2:7" x14ac:dyDescent="0.3">
      <c r="B38" s="220" t="s">
        <v>95</v>
      </c>
      <c r="C38" s="220" t="s">
        <v>78</v>
      </c>
      <c r="D38" s="220" t="s">
        <v>117</v>
      </c>
      <c r="E38" s="220" t="s">
        <v>100</v>
      </c>
      <c r="F38" s="221" t="s">
        <v>190</v>
      </c>
      <c r="G38" s="200" t="s">
        <v>128</v>
      </c>
    </row>
    <row r="39" spans="2:7" x14ac:dyDescent="0.3">
      <c r="B39" s="220" t="s">
        <v>95</v>
      </c>
      <c r="C39" s="220" t="s">
        <v>78</v>
      </c>
      <c r="D39" s="220" t="s">
        <v>117</v>
      </c>
      <c r="E39" s="220" t="s">
        <v>101</v>
      </c>
      <c r="F39" s="221" t="s">
        <v>191</v>
      </c>
      <c r="G39" s="200" t="s">
        <v>155</v>
      </c>
    </row>
    <row r="40" spans="2:7" x14ac:dyDescent="0.3">
      <c r="B40" s="220" t="s">
        <v>95</v>
      </c>
      <c r="C40" s="220" t="s">
        <v>78</v>
      </c>
      <c r="D40" s="220" t="s">
        <v>117</v>
      </c>
      <c r="E40" s="220" t="s">
        <v>192</v>
      </c>
      <c r="F40" s="221" t="s">
        <v>193</v>
      </c>
      <c r="G40" s="200" t="s">
        <v>194</v>
      </c>
    </row>
    <row r="41" spans="2:7" x14ac:dyDescent="0.3">
      <c r="B41" s="220" t="s">
        <v>95</v>
      </c>
      <c r="C41" s="220" t="s">
        <v>78</v>
      </c>
      <c r="D41" s="220" t="s">
        <v>117</v>
      </c>
      <c r="E41" s="220" t="s">
        <v>102</v>
      </c>
      <c r="F41" s="221" t="s">
        <v>195</v>
      </c>
      <c r="G41" s="200" t="s">
        <v>182</v>
      </c>
    </row>
    <row r="42" spans="2:7" x14ac:dyDescent="0.3">
      <c r="B42" s="222" t="s">
        <v>95</v>
      </c>
      <c r="C42" s="222" t="s">
        <v>78</v>
      </c>
      <c r="D42" s="222" t="s">
        <v>196</v>
      </c>
      <c r="E42" s="222" t="s">
        <v>197</v>
      </c>
      <c r="F42" s="223" t="s">
        <v>151</v>
      </c>
      <c r="G42" s="205" t="s">
        <v>134</v>
      </c>
    </row>
    <row r="43" spans="2:7" x14ac:dyDescent="0.3">
      <c r="B43" s="222" t="s">
        <v>95</v>
      </c>
      <c r="C43" s="222" t="s">
        <v>78</v>
      </c>
      <c r="D43" s="222" t="s">
        <v>196</v>
      </c>
      <c r="E43" s="222" t="s">
        <v>198</v>
      </c>
      <c r="F43" s="223" t="s">
        <v>127</v>
      </c>
      <c r="G43" s="224" t="s">
        <v>128</v>
      </c>
    </row>
    <row r="44" spans="2:7" x14ac:dyDescent="0.3">
      <c r="B44" s="222" t="s">
        <v>95</v>
      </c>
      <c r="C44" s="222" t="s">
        <v>78</v>
      </c>
      <c r="D44" s="222" t="s">
        <v>196</v>
      </c>
      <c r="E44" s="222" t="s">
        <v>199</v>
      </c>
      <c r="F44" s="223" t="s">
        <v>169</v>
      </c>
      <c r="G44" s="225" t="s">
        <v>137</v>
      </c>
    </row>
    <row r="45" spans="2:7" x14ac:dyDescent="0.3">
      <c r="B45" s="222" t="s">
        <v>95</v>
      </c>
      <c r="C45" s="222" t="s">
        <v>78</v>
      </c>
      <c r="D45" s="222" t="s">
        <v>196</v>
      </c>
      <c r="E45" s="222" t="s">
        <v>200</v>
      </c>
      <c r="F45" s="223" t="s">
        <v>190</v>
      </c>
      <c r="G45" s="226" t="s">
        <v>128</v>
      </c>
    </row>
    <row r="46" spans="2:7" x14ac:dyDescent="0.3">
      <c r="B46" s="212" t="s">
        <v>95</v>
      </c>
      <c r="C46" s="212" t="s">
        <v>120</v>
      </c>
      <c r="D46" s="212" t="s">
        <v>201</v>
      </c>
      <c r="E46" s="212" t="s">
        <v>202</v>
      </c>
      <c r="F46" s="213" t="s">
        <v>165</v>
      </c>
      <c r="G46" s="227" t="s">
        <v>128</v>
      </c>
    </row>
    <row r="47" spans="2:7" x14ac:dyDescent="0.3">
      <c r="B47" s="212" t="s">
        <v>95</v>
      </c>
      <c r="C47" s="212" t="s">
        <v>120</v>
      </c>
      <c r="D47" s="212" t="s">
        <v>201</v>
      </c>
      <c r="E47" s="212" t="s">
        <v>203</v>
      </c>
      <c r="F47" s="213" t="s">
        <v>204</v>
      </c>
      <c r="G47" s="227" t="s">
        <v>137</v>
      </c>
    </row>
    <row r="48" spans="2:7" x14ac:dyDescent="0.3">
      <c r="B48" s="212" t="s">
        <v>95</v>
      </c>
      <c r="C48" s="212" t="s">
        <v>120</v>
      </c>
      <c r="D48" s="212" t="s">
        <v>201</v>
      </c>
      <c r="E48" s="212" t="s">
        <v>205</v>
      </c>
      <c r="F48" s="213" t="s">
        <v>204</v>
      </c>
      <c r="G48" s="227" t="s">
        <v>137</v>
      </c>
    </row>
    <row r="49" spans="2:7" x14ac:dyDescent="0.3">
      <c r="B49" s="186" t="s">
        <v>95</v>
      </c>
      <c r="C49" s="228" t="s">
        <v>120</v>
      </c>
      <c r="D49" s="228" t="s">
        <v>206</v>
      </c>
      <c r="E49" s="228" t="s">
        <v>104</v>
      </c>
      <c r="F49" s="229" t="s">
        <v>207</v>
      </c>
      <c r="G49" s="230" t="s">
        <v>208</v>
      </c>
    </row>
    <row r="50" spans="2:7" x14ac:dyDescent="0.3">
      <c r="B50" s="190" t="s">
        <v>95</v>
      </c>
      <c r="C50" s="231" t="s">
        <v>120</v>
      </c>
      <c r="D50" s="231" t="s">
        <v>206</v>
      </c>
      <c r="E50" s="231" t="s">
        <v>106</v>
      </c>
      <c r="F50" s="232" t="s">
        <v>209</v>
      </c>
      <c r="G50" s="230" t="s">
        <v>208</v>
      </c>
    </row>
    <row r="51" spans="2:7" x14ac:dyDescent="0.3">
      <c r="B51" s="190" t="s">
        <v>95</v>
      </c>
      <c r="C51" s="231" t="s">
        <v>120</v>
      </c>
      <c r="D51" s="231" t="s">
        <v>206</v>
      </c>
      <c r="E51" s="231" t="s">
        <v>108</v>
      </c>
      <c r="F51" s="232" t="s">
        <v>144</v>
      </c>
      <c r="G51" s="230" t="s">
        <v>125</v>
      </c>
    </row>
    <row r="52" spans="2:7" x14ac:dyDescent="0.3">
      <c r="B52" s="190" t="s">
        <v>95</v>
      </c>
      <c r="C52" s="231" t="s">
        <v>120</v>
      </c>
      <c r="D52" s="231" t="s">
        <v>206</v>
      </c>
      <c r="E52" s="231" t="s">
        <v>110</v>
      </c>
      <c r="F52" s="232" t="s">
        <v>210</v>
      </c>
      <c r="G52" s="230" t="s">
        <v>211</v>
      </c>
    </row>
    <row r="53" spans="2:7" x14ac:dyDescent="0.3">
      <c r="B53" s="190" t="s">
        <v>95</v>
      </c>
      <c r="C53" s="231" t="s">
        <v>120</v>
      </c>
      <c r="D53" s="231" t="s">
        <v>206</v>
      </c>
      <c r="E53" s="231" t="s">
        <v>112</v>
      </c>
      <c r="F53" s="232" t="s">
        <v>114</v>
      </c>
      <c r="G53" s="233" t="s">
        <v>211</v>
      </c>
    </row>
    <row r="54" spans="2:7" x14ac:dyDescent="0.3">
      <c r="B54" s="190" t="s">
        <v>95</v>
      </c>
      <c r="C54" s="231" t="s">
        <v>120</v>
      </c>
      <c r="D54" s="231" t="s">
        <v>206</v>
      </c>
      <c r="E54" s="231" t="s">
        <v>212</v>
      </c>
      <c r="F54" s="232" t="s">
        <v>213</v>
      </c>
      <c r="G54" s="214" t="s">
        <v>214</v>
      </c>
    </row>
    <row r="67" spans="2:9" x14ac:dyDescent="0.3">
      <c r="B67" s="4"/>
      <c r="C67" s="4"/>
      <c r="D67" s="4"/>
      <c r="E67" s="6"/>
      <c r="F67" s="6"/>
      <c r="G67" s="6"/>
      <c r="H67" s="6"/>
      <c r="I67" s="6"/>
    </row>
    <row r="68" spans="2:9" x14ac:dyDescent="0.3">
      <c r="B68" s="7"/>
      <c r="C68" s="7"/>
      <c r="D68" s="7"/>
      <c r="E68" s="5"/>
      <c r="F68" s="5"/>
      <c r="G68" s="5"/>
      <c r="H68" s="5"/>
      <c r="I68" s="5"/>
    </row>
    <row r="69" spans="2:9" x14ac:dyDescent="0.3">
      <c r="B69" s="7"/>
      <c r="C69" s="7"/>
      <c r="D69" s="7"/>
      <c r="E69" s="5"/>
      <c r="F69" s="5"/>
      <c r="G69" s="5"/>
      <c r="H69" s="5"/>
      <c r="I69" s="5"/>
    </row>
    <row r="70" spans="2:9" x14ac:dyDescent="0.3">
      <c r="B70" s="7"/>
      <c r="C70" s="7"/>
      <c r="D70" s="7"/>
      <c r="E70" s="5"/>
      <c r="F70" s="5"/>
      <c r="G70" s="5"/>
      <c r="H70" s="5"/>
      <c r="I70" s="5"/>
    </row>
    <row r="71" spans="2:9" x14ac:dyDescent="0.3">
      <c r="B71" s="7"/>
      <c r="C71" s="7"/>
      <c r="D71" s="7"/>
      <c r="E71" s="5"/>
      <c r="F71" s="5"/>
      <c r="G71" s="5"/>
      <c r="H71" s="5"/>
      <c r="I71" s="5"/>
    </row>
    <row r="72" spans="2:9" x14ac:dyDescent="0.3">
      <c r="B72" s="7"/>
      <c r="C72" s="7"/>
      <c r="D72" s="7"/>
      <c r="E72" s="5"/>
      <c r="F72" s="5"/>
      <c r="G72" s="5"/>
      <c r="H72" s="5"/>
      <c r="I72" s="5"/>
    </row>
    <row r="73" spans="2:9" x14ac:dyDescent="0.3">
      <c r="B73" s="7"/>
      <c r="C73" s="7"/>
      <c r="D73" s="7"/>
      <c r="E73" s="5"/>
      <c r="F73" s="5"/>
      <c r="G73" s="5"/>
      <c r="H73" s="5"/>
      <c r="I73" s="5"/>
    </row>
  </sheetData>
  <mergeCells count="1">
    <mergeCell ref="B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4C14-2BAE-4EEC-986B-933FB74CDB30}">
  <sheetPr>
    <tabColor rgb="FFED7D31"/>
  </sheetPr>
  <dimension ref="B1:E9"/>
  <sheetViews>
    <sheetView showGridLines="0" workbookViewId="0">
      <pane ySplit="4" topLeftCell="A5" activePane="bottomLeft" state="frozen"/>
      <selection pane="bottomLeft" activeCell="D25" sqref="D25"/>
    </sheetView>
  </sheetViews>
  <sheetFormatPr defaultRowHeight="14.4" x14ac:dyDescent="0.3"/>
  <cols>
    <col min="2" max="2" width="8.6640625" customWidth="1"/>
    <col min="3" max="3" width="25.5546875" bestFit="1" customWidth="1"/>
    <col min="4" max="4" width="52.21875" bestFit="1" customWidth="1"/>
    <col min="5" max="5" width="16.88671875" bestFit="1" customWidth="1"/>
  </cols>
  <sheetData>
    <row r="1" spans="2:5" ht="15" thickBot="1" x14ac:dyDescent="0.35"/>
    <row r="2" spans="2:5" ht="22.2" thickTop="1" thickBot="1" x14ac:dyDescent="0.45">
      <c r="B2" s="237" t="s">
        <v>118</v>
      </c>
      <c r="C2" s="238"/>
      <c r="D2" s="238"/>
      <c r="E2" s="239"/>
    </row>
    <row r="3" spans="2:5" ht="15.6" thickTop="1" thickBot="1" x14ac:dyDescent="0.35"/>
    <row r="4" spans="2:5" s="161" customFormat="1" ht="29.4" thickTop="1" x14ac:dyDescent="0.3">
      <c r="B4" s="155" t="s">
        <v>2</v>
      </c>
      <c r="C4" s="179" t="s">
        <v>3</v>
      </c>
      <c r="D4" s="179" t="s">
        <v>86</v>
      </c>
      <c r="E4" s="180" t="s">
        <v>0</v>
      </c>
    </row>
    <row r="5" spans="2:5" x14ac:dyDescent="0.3">
      <c r="B5" s="160" t="s">
        <v>103</v>
      </c>
      <c r="C5" s="159" t="s">
        <v>104</v>
      </c>
      <c r="D5" s="159" t="s">
        <v>105</v>
      </c>
      <c r="E5" s="124">
        <v>300</v>
      </c>
    </row>
    <row r="6" spans="2:5" x14ac:dyDescent="0.3">
      <c r="B6" s="119" t="s">
        <v>103</v>
      </c>
      <c r="C6" s="117" t="s">
        <v>106</v>
      </c>
      <c r="D6" s="117" t="s">
        <v>107</v>
      </c>
      <c r="E6" s="125">
        <v>300</v>
      </c>
    </row>
    <row r="7" spans="2:5" x14ac:dyDescent="0.3">
      <c r="B7" s="119" t="s">
        <v>103</v>
      </c>
      <c r="C7" s="117" t="s">
        <v>108</v>
      </c>
      <c r="D7" s="117" t="s">
        <v>109</v>
      </c>
      <c r="E7" s="125">
        <v>500</v>
      </c>
    </row>
    <row r="8" spans="2:5" x14ac:dyDescent="0.3">
      <c r="B8" s="119" t="s">
        <v>103</v>
      </c>
      <c r="C8" s="117" t="s">
        <v>110</v>
      </c>
      <c r="D8" s="117" t="s">
        <v>111</v>
      </c>
      <c r="E8" s="125">
        <v>1000</v>
      </c>
    </row>
    <row r="9" spans="2:5" x14ac:dyDescent="0.3">
      <c r="B9" s="120" t="s">
        <v>103</v>
      </c>
      <c r="C9" s="118" t="s">
        <v>112</v>
      </c>
      <c r="D9" s="118" t="s">
        <v>113</v>
      </c>
      <c r="E9" s="158" t="s">
        <v>114</v>
      </c>
    </row>
  </sheetData>
  <mergeCells count="1">
    <mergeCell ref="B2:E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M41"/>
  <sheetViews>
    <sheetView showGridLines="0" workbookViewId="0">
      <pane ySplit="7" topLeftCell="A8" activePane="bottomLeft" state="frozen"/>
      <selection activeCell="B1" sqref="B1"/>
      <selection pane="bottomLeft" activeCell="B25" sqref="B25:D25"/>
    </sheetView>
  </sheetViews>
  <sheetFormatPr defaultRowHeight="14.4" x14ac:dyDescent="0.3"/>
  <cols>
    <col min="2" max="2" width="60.6640625" bestFit="1" customWidth="1"/>
    <col min="3" max="3" width="30" bestFit="1" customWidth="1"/>
    <col min="4" max="4" width="17.33203125" style="1" bestFit="1" customWidth="1"/>
    <col min="5" max="5" width="21.6640625" bestFit="1" customWidth="1"/>
    <col min="6" max="6" width="14.44140625" bestFit="1" customWidth="1"/>
    <col min="7" max="7" width="39.6640625" bestFit="1" customWidth="1"/>
    <col min="8" max="8" width="39.6640625" style="1" bestFit="1" customWidth="1"/>
    <col min="9" max="10" width="38.88671875" bestFit="1" customWidth="1"/>
    <col min="12" max="12" width="15.88671875" bestFit="1" customWidth="1"/>
    <col min="13" max="13" width="12" bestFit="1" customWidth="1"/>
  </cols>
  <sheetData>
    <row r="4" spans="2:13" ht="15" thickBot="1" x14ac:dyDescent="0.35"/>
    <row r="5" spans="2:13" ht="21" x14ac:dyDescent="0.3">
      <c r="B5" s="8" t="s">
        <v>15</v>
      </c>
      <c r="C5" s="8"/>
      <c r="D5" s="9"/>
      <c r="E5" s="8"/>
      <c r="F5" s="8"/>
      <c r="G5" s="8"/>
      <c r="H5" s="9"/>
      <c r="I5" s="8"/>
      <c r="J5" s="8"/>
      <c r="L5" s="94" t="s">
        <v>62</v>
      </c>
      <c r="M5" s="95"/>
    </row>
    <row r="6" spans="2:13" ht="15" thickBot="1" x14ac:dyDescent="0.35">
      <c r="B6" s="10" t="s">
        <v>16</v>
      </c>
      <c r="C6" s="10"/>
      <c r="D6" s="11" t="s">
        <v>17</v>
      </c>
      <c r="E6" s="92">
        <v>0.3</v>
      </c>
      <c r="F6" s="91"/>
      <c r="G6" s="90">
        <v>0.4</v>
      </c>
      <c r="H6" s="93">
        <v>0.6</v>
      </c>
      <c r="I6" s="12"/>
      <c r="J6" s="10"/>
      <c r="L6" s="96" t="s">
        <v>63</v>
      </c>
      <c r="M6" s="97" t="s">
        <v>64</v>
      </c>
    </row>
    <row r="7" spans="2:13" s="2" customFormat="1" ht="15" thickTop="1" x14ac:dyDescent="0.3">
      <c r="B7" s="14" t="s">
        <v>2</v>
      </c>
      <c r="C7" s="14" t="s">
        <v>3</v>
      </c>
      <c r="D7" s="15" t="s">
        <v>0</v>
      </c>
      <c r="E7" s="13" t="s">
        <v>4</v>
      </c>
      <c r="F7" s="13" t="s">
        <v>1</v>
      </c>
      <c r="G7" s="13" t="s">
        <v>5</v>
      </c>
      <c r="H7" s="13" t="s">
        <v>6</v>
      </c>
      <c r="I7" s="14" t="s">
        <v>7</v>
      </c>
      <c r="J7" s="14" t="s">
        <v>8</v>
      </c>
      <c r="L7" s="98" t="s">
        <v>65</v>
      </c>
      <c r="M7" s="99" t="s">
        <v>66</v>
      </c>
    </row>
    <row r="8" spans="2:13" x14ac:dyDescent="0.3">
      <c r="B8" s="56" t="s">
        <v>93</v>
      </c>
      <c r="C8" s="55" t="s">
        <v>9</v>
      </c>
      <c r="D8" s="62">
        <v>3000</v>
      </c>
      <c r="E8" s="70">
        <f t="shared" ref="E8:E13" si="0">D8*$E$6</f>
        <v>900</v>
      </c>
      <c r="F8" s="68">
        <f t="shared" ref="F8:F13" si="1">D8+E8</f>
        <v>3900</v>
      </c>
      <c r="G8" s="78">
        <f t="shared" ref="G8" si="2">E8*$G$6</f>
        <v>360</v>
      </c>
      <c r="H8" s="76">
        <f t="shared" ref="H8" si="3">E8*$H$6</f>
        <v>540</v>
      </c>
      <c r="I8" s="82">
        <f t="shared" ref="I8:I13" si="4">E8-G8</f>
        <v>540</v>
      </c>
      <c r="J8" s="86">
        <f t="shared" ref="J8:J13" si="5">E8-H8</f>
        <v>360</v>
      </c>
      <c r="L8" s="102" t="s">
        <v>67</v>
      </c>
      <c r="M8" s="103" t="s">
        <v>68</v>
      </c>
    </row>
    <row r="9" spans="2:13" ht="15" thickBot="1" x14ac:dyDescent="0.35">
      <c r="B9" s="58" t="s">
        <v>93</v>
      </c>
      <c r="C9" s="54" t="s">
        <v>10</v>
      </c>
      <c r="D9" s="63">
        <v>15000</v>
      </c>
      <c r="E9" s="71">
        <f t="shared" si="0"/>
        <v>4500</v>
      </c>
      <c r="F9" s="66">
        <f t="shared" si="1"/>
        <v>19500</v>
      </c>
      <c r="G9" s="79">
        <f>E9*$G$6</f>
        <v>1800</v>
      </c>
      <c r="H9" s="74">
        <f>E9*$H$6</f>
        <v>2700</v>
      </c>
      <c r="I9" s="83">
        <f t="shared" si="4"/>
        <v>2700</v>
      </c>
      <c r="J9" s="87">
        <f t="shared" si="5"/>
        <v>1800</v>
      </c>
      <c r="L9" s="104" t="s">
        <v>69</v>
      </c>
      <c r="M9" s="105" t="s">
        <v>70</v>
      </c>
    </row>
    <row r="10" spans="2:13" ht="15" thickTop="1" x14ac:dyDescent="0.3">
      <c r="B10" s="106" t="s">
        <v>93</v>
      </c>
      <c r="C10" s="107" t="s">
        <v>11</v>
      </c>
      <c r="D10" s="64">
        <v>12500</v>
      </c>
      <c r="E10" s="72">
        <f t="shared" si="0"/>
        <v>3750</v>
      </c>
      <c r="F10" s="67">
        <f t="shared" si="1"/>
        <v>16250</v>
      </c>
      <c r="G10" s="80">
        <f>E10*$G$6</f>
        <v>1500</v>
      </c>
      <c r="H10" s="75">
        <f>E10*$H$6</f>
        <v>2250</v>
      </c>
      <c r="I10" s="84">
        <f t="shared" si="4"/>
        <v>2250</v>
      </c>
      <c r="J10" s="88">
        <f t="shared" si="5"/>
        <v>1500</v>
      </c>
      <c r="L10" s="146" t="s">
        <v>71</v>
      </c>
      <c r="M10" s="147" t="s">
        <v>72</v>
      </c>
    </row>
    <row r="11" spans="2:13" ht="15" thickBot="1" x14ac:dyDescent="0.35">
      <c r="B11" s="59" t="s">
        <v>93</v>
      </c>
      <c r="C11" s="57" t="s">
        <v>12</v>
      </c>
      <c r="D11" s="63">
        <v>40000</v>
      </c>
      <c r="E11" s="71">
        <f t="shared" si="0"/>
        <v>12000</v>
      </c>
      <c r="F11" s="66">
        <f t="shared" si="1"/>
        <v>52000</v>
      </c>
      <c r="G11" s="79">
        <f>E11*$G$6</f>
        <v>4800</v>
      </c>
      <c r="H11" s="74">
        <f>E11*$H$6</f>
        <v>7200</v>
      </c>
      <c r="I11" s="83">
        <f t="shared" si="4"/>
        <v>7200</v>
      </c>
      <c r="J11" s="87">
        <f t="shared" si="5"/>
        <v>4800</v>
      </c>
      <c r="L11" s="96" t="s">
        <v>82</v>
      </c>
      <c r="M11" s="97" t="s">
        <v>83</v>
      </c>
    </row>
    <row r="12" spans="2:13" ht="15" thickTop="1" x14ac:dyDescent="0.3">
      <c r="B12" s="108" t="s">
        <v>93</v>
      </c>
      <c r="C12" s="109" t="s">
        <v>13</v>
      </c>
      <c r="D12" s="64">
        <v>12500</v>
      </c>
      <c r="E12" s="72">
        <f t="shared" si="0"/>
        <v>3750</v>
      </c>
      <c r="F12" s="67">
        <f t="shared" si="1"/>
        <v>16250</v>
      </c>
      <c r="G12" s="80">
        <f>E12*$G$6</f>
        <v>1500</v>
      </c>
      <c r="H12" s="75">
        <f>E12*$H$6</f>
        <v>2250</v>
      </c>
      <c r="I12" s="84">
        <f t="shared" si="4"/>
        <v>2250</v>
      </c>
      <c r="J12" s="88">
        <f t="shared" si="5"/>
        <v>1500</v>
      </c>
      <c r="L12" s="100" t="s">
        <v>84</v>
      </c>
      <c r="M12" s="101" t="s">
        <v>85</v>
      </c>
    </row>
    <row r="13" spans="2:13" x14ac:dyDescent="0.3">
      <c r="B13" s="61" t="s">
        <v>93</v>
      </c>
      <c r="C13" s="60" t="s">
        <v>14</v>
      </c>
      <c r="D13" s="65">
        <v>40000</v>
      </c>
      <c r="E13" s="73">
        <f t="shared" si="0"/>
        <v>12000</v>
      </c>
      <c r="F13" s="69">
        <f t="shared" si="1"/>
        <v>52000</v>
      </c>
      <c r="G13" s="81">
        <f>E13*$G$6</f>
        <v>4800</v>
      </c>
      <c r="H13" s="77">
        <f>E13*$H$6</f>
        <v>7200</v>
      </c>
      <c r="I13" s="85">
        <f t="shared" si="4"/>
        <v>7200</v>
      </c>
      <c r="J13" s="89">
        <f t="shared" si="5"/>
        <v>4800</v>
      </c>
    </row>
    <row r="15" spans="2:13" ht="15" thickBot="1" x14ac:dyDescent="0.35"/>
    <row r="16" spans="2:13" ht="22.2" thickTop="1" thickBot="1" x14ac:dyDescent="0.45">
      <c r="B16" s="111" t="s">
        <v>73</v>
      </c>
      <c r="C16" s="110"/>
      <c r="D16" s="110"/>
      <c r="E16" s="110"/>
      <c r="F16" s="110"/>
      <c r="G16" s="110"/>
      <c r="H16" s="110"/>
      <c r="I16" s="110"/>
      <c r="J16" s="112"/>
    </row>
    <row r="17" spans="2:10" ht="15.6" thickTop="1" thickBot="1" x14ac:dyDescent="0.35"/>
    <row r="18" spans="2:10" s="7" customFormat="1" ht="15" thickTop="1" x14ac:dyDescent="0.3">
      <c r="B18" s="155" t="s">
        <v>2</v>
      </c>
      <c r="C18" s="156" t="s">
        <v>3</v>
      </c>
      <c r="D18" s="156" t="s">
        <v>0</v>
      </c>
      <c r="E18" s="156" t="s">
        <v>4</v>
      </c>
      <c r="F18" s="156" t="s">
        <v>1</v>
      </c>
      <c r="G18" s="156" t="s">
        <v>5</v>
      </c>
      <c r="H18" s="156" t="s">
        <v>6</v>
      </c>
      <c r="I18" s="156" t="s">
        <v>7</v>
      </c>
      <c r="J18" s="157" t="s">
        <v>8</v>
      </c>
    </row>
    <row r="19" spans="2:10" x14ac:dyDescent="0.3">
      <c r="B19" s="115" t="s">
        <v>94</v>
      </c>
      <c r="C19" s="114" t="s">
        <v>75</v>
      </c>
      <c r="D19" s="121"/>
      <c r="E19" s="130" t="str">
        <f t="shared" ref="E19:E24" si="6">IF($D19="","",$D19*$E$6)</f>
        <v/>
      </c>
      <c r="F19" s="128" t="str">
        <f t="shared" ref="F19:F24" si="7">IF($D19="","",$D19+E19)</f>
        <v/>
      </c>
      <c r="G19" s="137" t="str">
        <f t="shared" ref="G19:G24" si="8">IF($D19="","",E19*$G$6)</f>
        <v/>
      </c>
      <c r="H19" s="135" t="str">
        <f t="shared" ref="H19:H24" si="9">IF($D19="","",E19*$H$6)</f>
        <v/>
      </c>
      <c r="I19" s="140" t="str">
        <f t="shared" ref="I19:I24" si="10">IF($D19="","",E19-G19)</f>
        <v/>
      </c>
      <c r="J19" s="143" t="str">
        <f t="shared" ref="J19:J24" si="11">IF($D19="","",E19-H19)</f>
        <v/>
      </c>
    </row>
    <row r="20" spans="2:10" x14ac:dyDescent="0.3">
      <c r="B20" s="116" t="s">
        <v>94</v>
      </c>
      <c r="C20" s="113" t="s">
        <v>76</v>
      </c>
      <c r="D20" s="122"/>
      <c r="E20" s="131" t="str">
        <f t="shared" si="6"/>
        <v/>
      </c>
      <c r="F20" s="126" t="str">
        <f t="shared" si="7"/>
        <v/>
      </c>
      <c r="G20" s="138" t="str">
        <f t="shared" si="8"/>
        <v/>
      </c>
      <c r="H20" s="133" t="str">
        <f t="shared" si="9"/>
        <v/>
      </c>
      <c r="I20" s="141" t="str">
        <f t="shared" si="10"/>
        <v/>
      </c>
      <c r="J20" s="144" t="str">
        <f t="shared" si="11"/>
        <v/>
      </c>
    </row>
    <row r="21" spans="2:10" ht="15" thickBot="1" x14ac:dyDescent="0.35">
      <c r="B21" s="116" t="s">
        <v>94</v>
      </c>
      <c r="C21" s="113" t="s">
        <v>77</v>
      </c>
      <c r="D21" s="122"/>
      <c r="E21" s="131" t="str">
        <f t="shared" si="6"/>
        <v/>
      </c>
      <c r="F21" s="126" t="str">
        <f t="shared" si="7"/>
        <v/>
      </c>
      <c r="G21" s="138" t="str">
        <f t="shared" si="8"/>
        <v/>
      </c>
      <c r="H21" s="133" t="str">
        <f t="shared" si="9"/>
        <v/>
      </c>
      <c r="I21" s="141" t="str">
        <f t="shared" si="10"/>
        <v/>
      </c>
      <c r="J21" s="144" t="str">
        <f t="shared" si="11"/>
        <v/>
      </c>
    </row>
    <row r="22" spans="2:10" ht="15" thickTop="1" x14ac:dyDescent="0.3">
      <c r="B22" s="148" t="s">
        <v>94</v>
      </c>
      <c r="C22" s="149" t="s">
        <v>79</v>
      </c>
      <c r="D22" s="150"/>
      <c r="E22" s="151" t="str">
        <f t="shared" si="6"/>
        <v/>
      </c>
      <c r="F22" s="127" t="str">
        <f t="shared" si="7"/>
        <v/>
      </c>
      <c r="G22" s="152" t="str">
        <f t="shared" si="8"/>
        <v/>
      </c>
      <c r="H22" s="134" t="str">
        <f t="shared" si="9"/>
        <v/>
      </c>
      <c r="I22" s="153" t="str">
        <f t="shared" si="10"/>
        <v/>
      </c>
      <c r="J22" s="154" t="str">
        <f t="shared" si="11"/>
        <v/>
      </c>
    </row>
    <row r="23" spans="2:10" x14ac:dyDescent="0.3">
      <c r="B23" s="119" t="s">
        <v>94</v>
      </c>
      <c r="C23" s="117" t="s">
        <v>80</v>
      </c>
      <c r="D23" s="122"/>
      <c r="E23" s="131" t="str">
        <f t="shared" si="6"/>
        <v/>
      </c>
      <c r="F23" s="126" t="str">
        <f t="shared" si="7"/>
        <v/>
      </c>
      <c r="G23" s="138" t="str">
        <f t="shared" si="8"/>
        <v/>
      </c>
      <c r="H23" s="133" t="str">
        <f t="shared" si="9"/>
        <v/>
      </c>
      <c r="I23" s="141" t="str">
        <f t="shared" si="10"/>
        <v/>
      </c>
      <c r="J23" s="144" t="str">
        <f t="shared" si="11"/>
        <v/>
      </c>
    </row>
    <row r="24" spans="2:10" x14ac:dyDescent="0.3">
      <c r="B24" s="120" t="s">
        <v>94</v>
      </c>
      <c r="C24" s="118" t="s">
        <v>81</v>
      </c>
      <c r="D24" s="123"/>
      <c r="E24" s="132" t="str">
        <f t="shared" si="6"/>
        <v/>
      </c>
      <c r="F24" s="129" t="str">
        <f t="shared" si="7"/>
        <v/>
      </c>
      <c r="G24" s="139" t="str">
        <f t="shared" si="8"/>
        <v/>
      </c>
      <c r="H24" s="136" t="str">
        <f t="shared" si="9"/>
        <v/>
      </c>
      <c r="I24" s="142" t="str">
        <f t="shared" si="10"/>
        <v/>
      </c>
      <c r="J24" s="145" t="str">
        <f t="shared" si="11"/>
        <v/>
      </c>
    </row>
    <row r="26" spans="2:10" x14ac:dyDescent="0.3">
      <c r="C26" s="1"/>
    </row>
    <row r="27" spans="2:10" x14ac:dyDescent="0.3">
      <c r="D27"/>
    </row>
    <row r="28" spans="2:10" x14ac:dyDescent="0.3">
      <c r="D28"/>
    </row>
    <row r="29" spans="2:10" x14ac:dyDescent="0.3">
      <c r="D29"/>
    </row>
    <row r="30" spans="2:10" x14ac:dyDescent="0.3">
      <c r="D30"/>
    </row>
    <row r="31" spans="2:10" x14ac:dyDescent="0.3">
      <c r="D31"/>
    </row>
    <row r="32" spans="2:10" x14ac:dyDescent="0.3">
      <c r="D32"/>
    </row>
    <row r="33" spans="4:4" x14ac:dyDescent="0.3">
      <c r="D33"/>
    </row>
    <row r="34" spans="4:4" x14ac:dyDescent="0.3">
      <c r="D34"/>
    </row>
    <row r="35" spans="4:4" x14ac:dyDescent="0.3">
      <c r="D35"/>
    </row>
    <row r="36" spans="4:4" x14ac:dyDescent="0.3">
      <c r="D36"/>
    </row>
    <row r="37" spans="4:4" x14ac:dyDescent="0.3">
      <c r="D37"/>
    </row>
    <row r="38" spans="4:4" x14ac:dyDescent="0.3">
      <c r="D38"/>
    </row>
    <row r="39" spans="4:4" x14ac:dyDescent="0.3">
      <c r="D39"/>
    </row>
    <row r="40" spans="4:4" x14ac:dyDescent="0.3">
      <c r="D40"/>
    </row>
    <row r="41" spans="4:4" x14ac:dyDescent="0.3">
      <c r="D41"/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E72A-9208-43A4-9E49-93477BE25586}">
  <dimension ref="B1:G40"/>
  <sheetViews>
    <sheetView showGridLines="0" topLeftCell="A10" workbookViewId="0">
      <selection activeCell="C17" sqref="C17"/>
    </sheetView>
  </sheetViews>
  <sheetFormatPr defaultRowHeight="14.4" x14ac:dyDescent="0.3"/>
  <cols>
    <col min="2" max="2" width="11.88671875" customWidth="1"/>
    <col min="3" max="3" width="22.21875" customWidth="1"/>
    <col min="4" max="4" width="38.88671875" customWidth="1"/>
    <col min="5" max="5" width="13" customWidth="1"/>
    <col min="6" max="7" width="22.21875" customWidth="1"/>
  </cols>
  <sheetData>
    <row r="1" spans="2:7" ht="15" thickBot="1" x14ac:dyDescent="0.35"/>
    <row r="2" spans="2:7" ht="22.2" thickTop="1" thickBot="1" x14ac:dyDescent="0.45">
      <c r="B2" s="240" t="s">
        <v>18</v>
      </c>
      <c r="C2" s="241"/>
      <c r="D2" s="241"/>
      <c r="E2" s="241"/>
      <c r="F2" s="241"/>
      <c r="G2" s="242"/>
    </row>
    <row r="3" spans="2:7" ht="15" thickTop="1" x14ac:dyDescent="0.3"/>
    <row r="4" spans="2:7" x14ac:dyDescent="0.3">
      <c r="B4" s="20" t="s">
        <v>19</v>
      </c>
      <c r="C4" s="3" t="s">
        <v>20</v>
      </c>
      <c r="E4" s="20" t="s">
        <v>25</v>
      </c>
      <c r="F4" t="s">
        <v>26</v>
      </c>
    </row>
    <row r="5" spans="2:7" x14ac:dyDescent="0.3">
      <c r="B5" s="18" t="s">
        <v>21</v>
      </c>
      <c r="C5" s="25"/>
      <c r="E5" s="21" t="s">
        <v>27</v>
      </c>
    </row>
    <row r="6" spans="2:7" ht="28.8" x14ac:dyDescent="0.3">
      <c r="B6" s="53" t="s">
        <v>61</v>
      </c>
      <c r="C6" s="52" t="s">
        <v>60</v>
      </c>
      <c r="E6" s="21" t="s">
        <v>28</v>
      </c>
      <c r="F6" s="16">
        <f ca="1">TODAY()</f>
        <v>46210</v>
      </c>
    </row>
    <row r="7" spans="2:7" x14ac:dyDescent="0.3">
      <c r="B7" s="18" t="s">
        <v>23</v>
      </c>
      <c r="C7" s="26"/>
      <c r="E7" s="21" t="s">
        <v>29</v>
      </c>
      <c r="F7" s="16">
        <f ca="1">F6+15</f>
        <v>46225</v>
      </c>
    </row>
    <row r="8" spans="2:7" x14ac:dyDescent="0.3">
      <c r="B8" s="19" t="s">
        <v>24</v>
      </c>
      <c r="C8" s="27"/>
      <c r="E8" s="21" t="s">
        <v>30</v>
      </c>
      <c r="F8" t="s">
        <v>31</v>
      </c>
    </row>
    <row r="9" spans="2:7" x14ac:dyDescent="0.3">
      <c r="E9" s="22" t="s">
        <v>32</v>
      </c>
      <c r="F9" t="s">
        <v>33</v>
      </c>
    </row>
    <row r="10" spans="2:7" x14ac:dyDescent="0.3">
      <c r="B10" s="20" t="s">
        <v>34</v>
      </c>
    </row>
    <row r="11" spans="2:7" x14ac:dyDescent="0.3">
      <c r="B11" s="18" t="s">
        <v>35</v>
      </c>
      <c r="C11" s="25"/>
    </row>
    <row r="12" spans="2:7" x14ac:dyDescent="0.3">
      <c r="B12" s="18" t="s">
        <v>36</v>
      </c>
      <c r="C12" s="26"/>
    </row>
    <row r="13" spans="2:7" x14ac:dyDescent="0.3">
      <c r="B13" s="18" t="s">
        <v>22</v>
      </c>
      <c r="C13" s="26"/>
    </row>
    <row r="14" spans="2:7" x14ac:dyDescent="0.3">
      <c r="B14" s="19" t="s">
        <v>37</v>
      </c>
      <c r="C14" s="27"/>
    </row>
    <row r="15" spans="2:7" ht="15" thickBot="1" x14ac:dyDescent="0.35"/>
    <row r="16" spans="2:7" ht="15.6" thickTop="1" thickBot="1" x14ac:dyDescent="0.35">
      <c r="B16" s="24" t="s">
        <v>38</v>
      </c>
      <c r="C16" s="23" t="s">
        <v>2</v>
      </c>
      <c r="D16" s="23" t="s">
        <v>3</v>
      </c>
      <c r="E16" s="23" t="s">
        <v>39</v>
      </c>
      <c r="F16" s="23" t="s">
        <v>40</v>
      </c>
      <c r="G16" s="45" t="s">
        <v>41</v>
      </c>
    </row>
    <row r="17" spans="2:7" ht="15" thickTop="1" x14ac:dyDescent="0.3">
      <c r="B17">
        <v>1</v>
      </c>
      <c r="C17" s="42" t="str">
        <f>IFERROR(_xlfn.XLOOKUP(D17,Sheet1!$C$8:$C$13,Sheet1!$B$8:$B$13,""),"")</f>
        <v/>
      </c>
      <c r="D17" s="40"/>
      <c r="E17" s="40"/>
      <c r="F17" s="46" t="str">
        <f>IFERROR(_xlfn.XLOOKUP(D17,Sheet1!$C$8:$C$13,Sheet1!$F$8:$F$13,""),"")</f>
        <v/>
      </c>
      <c r="G17" s="47" t="str">
        <f t="shared" ref="G17:G26" si="0">IFERROR(E17*F17,"")</f>
        <v/>
      </c>
    </row>
    <row r="18" spans="2:7" x14ac:dyDescent="0.3">
      <c r="B18">
        <v>2</v>
      </c>
      <c r="C18" s="43" t="str">
        <f>IFERROR(_xlfn.XLOOKUP(D18,Sheet1!$C$8:$C$13,Sheet1!$B$8:$B$13,""),"")</f>
        <v/>
      </c>
      <c r="D18" s="39"/>
      <c r="E18" s="39"/>
      <c r="F18" s="28" t="str">
        <f>IFERROR(_xlfn.XLOOKUP(D18,Sheet1!$C$8:$C$13,Sheet1!$F$8:$F$13,""),"")</f>
        <v/>
      </c>
      <c r="G18" s="48" t="str">
        <f t="shared" si="0"/>
        <v/>
      </c>
    </row>
    <row r="19" spans="2:7" x14ac:dyDescent="0.3">
      <c r="B19">
        <v>3</v>
      </c>
      <c r="C19" s="43" t="str">
        <f>IFERROR(_xlfn.XLOOKUP(D19,Sheet1!$C$8:$C$13,Sheet1!$B$8:$B$13,""),"")</f>
        <v/>
      </c>
      <c r="D19" s="39"/>
      <c r="E19" s="39"/>
      <c r="F19" s="28" t="str">
        <f>IFERROR(_xlfn.XLOOKUP(D19,Sheet1!$C$8:$C$13,Sheet1!$F$8:$F$13,""),"")</f>
        <v/>
      </c>
      <c r="G19" s="48" t="str">
        <f t="shared" si="0"/>
        <v/>
      </c>
    </row>
    <row r="20" spans="2:7" x14ac:dyDescent="0.3">
      <c r="B20">
        <v>4</v>
      </c>
      <c r="C20" s="43" t="str">
        <f>IFERROR(_xlfn.XLOOKUP(D20,Sheet1!$C$8:$C$13,Sheet1!$B$8:$B$13,""),"")</f>
        <v/>
      </c>
      <c r="D20" s="39"/>
      <c r="E20" s="39"/>
      <c r="F20" s="28" t="str">
        <f>IFERROR(_xlfn.XLOOKUP(D20,Sheet1!$C$8:$C$13,Sheet1!$F$8:$F$13,""),"")</f>
        <v/>
      </c>
      <c r="G20" s="48" t="str">
        <f t="shared" si="0"/>
        <v/>
      </c>
    </row>
    <row r="21" spans="2:7" x14ac:dyDescent="0.3">
      <c r="B21">
        <v>5</v>
      </c>
      <c r="C21" s="43" t="str">
        <f>IFERROR(_xlfn.XLOOKUP(D21,Sheet1!$C$8:$C$13,Sheet1!$B$8:$B$13,""),"")</f>
        <v/>
      </c>
      <c r="D21" s="39"/>
      <c r="E21" s="39"/>
      <c r="F21" s="28" t="str">
        <f>IFERROR(_xlfn.XLOOKUP(D21,Sheet1!$C$8:$C$13,Sheet1!$F$8:$F$13,""),"")</f>
        <v/>
      </c>
      <c r="G21" s="48" t="str">
        <f t="shared" si="0"/>
        <v/>
      </c>
    </row>
    <row r="22" spans="2:7" x14ac:dyDescent="0.3">
      <c r="B22">
        <v>6</v>
      </c>
      <c r="C22" s="43" t="str">
        <f>IFERROR(_xlfn.XLOOKUP(D22,Sheet1!$C$8:$C$13,Sheet1!$B$8:$B$13,""),"")</f>
        <v/>
      </c>
      <c r="D22" s="39"/>
      <c r="E22" s="39"/>
      <c r="F22" s="28" t="str">
        <f>IFERROR(_xlfn.XLOOKUP(D22,Sheet1!$C$8:$C$13,Sheet1!$F$8:$F$13,""),"")</f>
        <v/>
      </c>
      <c r="G22" s="48" t="str">
        <f t="shared" si="0"/>
        <v/>
      </c>
    </row>
    <row r="23" spans="2:7" x14ac:dyDescent="0.3">
      <c r="B23">
        <v>7</v>
      </c>
      <c r="C23" s="43" t="str">
        <f>IFERROR(_xlfn.XLOOKUP(D23,Sheet1!$C$8:$C$13,Sheet1!$B$8:$B$13,""),"")</f>
        <v/>
      </c>
      <c r="D23" s="39"/>
      <c r="E23" s="39"/>
      <c r="F23" s="28" t="str">
        <f>IFERROR(_xlfn.XLOOKUP(D23,Sheet1!$C$8:$C$13,Sheet1!$F$8:$F$13,""),"")</f>
        <v/>
      </c>
      <c r="G23" s="48" t="str">
        <f t="shared" si="0"/>
        <v/>
      </c>
    </row>
    <row r="24" spans="2:7" x14ac:dyDescent="0.3">
      <c r="B24">
        <v>8</v>
      </c>
      <c r="C24" s="43" t="str">
        <f>IFERROR(_xlfn.XLOOKUP(D24,Sheet1!$C$8:$C$13,Sheet1!$B$8:$B$13,""),"")</f>
        <v/>
      </c>
      <c r="D24" s="39"/>
      <c r="E24" s="39"/>
      <c r="F24" s="28" t="str">
        <f>IFERROR(_xlfn.XLOOKUP(D24,Sheet1!$C$8:$C$13,Sheet1!$F$8:$F$13,""),"")</f>
        <v/>
      </c>
      <c r="G24" s="48" t="str">
        <f t="shared" si="0"/>
        <v/>
      </c>
    </row>
    <row r="25" spans="2:7" x14ac:dyDescent="0.3">
      <c r="B25">
        <v>9</v>
      </c>
      <c r="C25" s="43" t="str">
        <f>IFERROR(_xlfn.XLOOKUP(D25,Sheet1!$C$8:$C$13,Sheet1!$B$8:$B$13,""),"")</f>
        <v/>
      </c>
      <c r="D25" s="39"/>
      <c r="E25" s="39"/>
      <c r="F25" s="28" t="str">
        <f>IFERROR(_xlfn.XLOOKUP(D25,Sheet1!$C$8:$C$13,Sheet1!$F$8:$F$13,""),"")</f>
        <v/>
      </c>
      <c r="G25" s="48" t="str">
        <f t="shared" si="0"/>
        <v/>
      </c>
    </row>
    <row r="26" spans="2:7" x14ac:dyDescent="0.3">
      <c r="B26">
        <v>10</v>
      </c>
      <c r="C26" s="44" t="str">
        <f>IFERROR(_xlfn.XLOOKUP(D26,Sheet1!$C$8:$C$13,Sheet1!$B$8:$B$13,""),"")</f>
        <v/>
      </c>
      <c r="D26" s="41"/>
      <c r="E26" s="41"/>
      <c r="F26" s="29" t="str">
        <f>IFERROR(_xlfn.XLOOKUP(D26,Sheet1!$C$8:$C$13,Sheet1!$F$8:$F$13,""),"")</f>
        <v/>
      </c>
      <c r="G26" s="49" t="str">
        <f t="shared" si="0"/>
        <v/>
      </c>
    </row>
    <row r="28" spans="2:7" x14ac:dyDescent="0.3">
      <c r="B28" s="37" t="s">
        <v>50</v>
      </c>
      <c r="C28" s="36"/>
      <c r="D28" s="38"/>
      <c r="F28" s="17" t="s">
        <v>42</v>
      </c>
      <c r="G28" s="30">
        <f>SUM(G17:G26)</f>
        <v>0</v>
      </c>
    </row>
    <row r="29" spans="2:7" x14ac:dyDescent="0.3">
      <c r="B29" t="s">
        <v>51</v>
      </c>
      <c r="F29" s="18" t="s">
        <v>43</v>
      </c>
      <c r="G29" s="32">
        <v>0</v>
      </c>
    </row>
    <row r="30" spans="2:7" x14ac:dyDescent="0.3">
      <c r="B30" t="s">
        <v>52</v>
      </c>
      <c r="F30" s="18" t="s">
        <v>44</v>
      </c>
      <c r="G30" s="31">
        <f>G28*G29</f>
        <v>0</v>
      </c>
    </row>
    <row r="31" spans="2:7" x14ac:dyDescent="0.3">
      <c r="B31" t="s">
        <v>53</v>
      </c>
      <c r="F31" s="18" t="s">
        <v>45</v>
      </c>
      <c r="G31" s="32">
        <v>0.18</v>
      </c>
    </row>
    <row r="32" spans="2:7" ht="15" thickBot="1" x14ac:dyDescent="0.35">
      <c r="F32" s="18" t="s">
        <v>46</v>
      </c>
      <c r="G32" s="31">
        <f>(G28-G30)*G31</f>
        <v>0</v>
      </c>
    </row>
    <row r="33" spans="2:7" ht="16.2" thickTop="1" x14ac:dyDescent="0.3">
      <c r="B33" s="37" t="s">
        <v>54</v>
      </c>
      <c r="C33" s="36"/>
      <c r="D33" s="38"/>
      <c r="F33" s="33" t="s">
        <v>47</v>
      </c>
      <c r="G33" s="50">
        <f>G28-G30+G32</f>
        <v>0</v>
      </c>
    </row>
    <row r="34" spans="2:7" x14ac:dyDescent="0.3">
      <c r="B34" t="s">
        <v>55</v>
      </c>
      <c r="F34" s="18" t="s">
        <v>48</v>
      </c>
      <c r="G34" s="51">
        <v>0</v>
      </c>
    </row>
    <row r="35" spans="2:7" x14ac:dyDescent="0.3">
      <c r="B35" t="s">
        <v>56</v>
      </c>
      <c r="F35" s="35" t="s">
        <v>49</v>
      </c>
      <c r="G35" s="34">
        <f>G33-G34</f>
        <v>0</v>
      </c>
    </row>
    <row r="36" spans="2:7" x14ac:dyDescent="0.3">
      <c r="B36" t="s">
        <v>57</v>
      </c>
    </row>
    <row r="37" spans="2:7" x14ac:dyDescent="0.3">
      <c r="B37" t="s">
        <v>58</v>
      </c>
    </row>
    <row r="40" spans="2:7" x14ac:dyDescent="0.3">
      <c r="B40" s="243" t="s">
        <v>59</v>
      </c>
      <c r="C40" s="243"/>
      <c r="D40" s="243"/>
      <c r="E40" s="243"/>
      <c r="F40" s="243"/>
      <c r="G40" s="243"/>
    </row>
  </sheetData>
  <mergeCells count="2">
    <mergeCell ref="B2:G2"/>
    <mergeCell ref="B40:G40"/>
  </mergeCells>
  <hyperlinks>
    <hyperlink ref="C6" r:id="rId1" xr:uid="{304A038E-4B41-483B-B3A7-7A921AA3D39F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01. Branding_ReBranding</vt:lpstr>
      <vt:lpstr>02. Marketing_Materials</vt:lpstr>
      <vt:lpstr>Add_Ons</vt:lpstr>
      <vt:lpstr>Sheet1</vt:lpstr>
      <vt:lpstr>Invoice_Quotation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Velhari Sankaran</dc:creator>
  <cp:lastModifiedBy>Velhari Sankaran</cp:lastModifiedBy>
  <dcterms:created xsi:type="dcterms:W3CDTF">2015-06-05T18:17:20Z</dcterms:created>
  <dcterms:modified xsi:type="dcterms:W3CDTF">2026-07-08T06:34:12Z</dcterms:modified>
</cp:coreProperties>
</file>